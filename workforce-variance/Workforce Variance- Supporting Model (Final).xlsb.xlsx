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evenitzz\Downloads\"/>
    </mc:Choice>
  </mc:AlternateContent>
  <xr:revisionPtr revIDLastSave="0" documentId="8_{56081D86-7AD3-4845-99EA-454C96ADA1EA}" xr6:coauthVersionLast="47" xr6:coauthVersionMax="47" xr10:uidLastSave="{00000000-0000-0000-0000-000000000000}"/>
  <bookViews>
    <workbookView xWindow="-90" yWindow="-90" windowWidth="19380" windowHeight="10980" tabRatio="500" activeTab="3" xr2:uid="{00000000-000D-0000-FFFF-FFFF00000000}"/>
  </bookViews>
  <sheets>
    <sheet name="Notes" sheetId="1" r:id="rId1"/>
    <sheet name="Location Summary" sheetId="5" r:id="rId2"/>
    <sheet name="Efficiency Metrics" sheetId="6" r:id="rId3"/>
    <sheet name="Top Movers" sheetId="7" r:id="rId4"/>
    <sheet name="Variance Analysis" sheetId="4" state="hidden" r:id="rId5"/>
    <sheet name="Raw - Workforce" sheetId="2" r:id="rId6"/>
    <sheet name="Raw - Transactions" sheetId="3" r:id="rId7"/>
  </sheets>
  <externalReferences>
    <externalReference r:id="rId8"/>
  </externalReferences>
  <definedNames>
    <definedName name="_xlnm._FilterDatabase" localSheetId="4" hidden="1">'Variance Analysis'!$A$1:$K$1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5" l="1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9" i="6"/>
  <c r="F9" i="6" s="1"/>
  <c r="A8" i="6"/>
  <c r="F8" i="6" s="1"/>
  <c r="A7" i="6"/>
  <c r="F7" i="6" s="1"/>
  <c r="A6" i="6"/>
  <c r="F6" i="6" s="1"/>
  <c r="H20" i="5"/>
  <c r="G20" i="5"/>
  <c r="F20" i="5"/>
  <c r="H19" i="5"/>
  <c r="G19" i="5"/>
  <c r="F19" i="5"/>
  <c r="C9" i="5"/>
  <c r="B9" i="5"/>
  <c r="H18" i="5"/>
  <c r="G18" i="5"/>
  <c r="F18" i="5"/>
  <c r="C8" i="5"/>
  <c r="B8" i="5"/>
  <c r="H17" i="5"/>
  <c r="G17" i="5"/>
  <c r="F17" i="5"/>
  <c r="C7" i="5"/>
  <c r="B7" i="5"/>
  <c r="H16" i="5"/>
  <c r="G16" i="5"/>
  <c r="F16" i="5"/>
  <c r="C6" i="5"/>
  <c r="B6" i="5"/>
  <c r="K68" i="4"/>
  <c r="J68" i="4"/>
  <c r="F68" i="4"/>
  <c r="E68" i="4"/>
  <c r="D68" i="4"/>
  <c r="C68" i="4"/>
  <c r="B68" i="4"/>
  <c r="A68" i="4"/>
  <c r="K67" i="4"/>
  <c r="J67" i="4"/>
  <c r="F67" i="4"/>
  <c r="E67" i="4"/>
  <c r="D67" i="4"/>
  <c r="C67" i="4"/>
  <c r="B67" i="4"/>
  <c r="A67" i="4"/>
  <c r="K35" i="4"/>
  <c r="J35" i="4"/>
  <c r="F35" i="4"/>
  <c r="E35" i="4"/>
  <c r="D35" i="4"/>
  <c r="C35" i="4"/>
  <c r="B35" i="4"/>
  <c r="A35" i="4"/>
  <c r="K66" i="4"/>
  <c r="J66" i="4"/>
  <c r="F66" i="4"/>
  <c r="E66" i="4"/>
  <c r="D66" i="4"/>
  <c r="C66" i="4"/>
  <c r="B66" i="4"/>
  <c r="A66" i="4"/>
  <c r="K38" i="4"/>
  <c r="J38" i="4"/>
  <c r="F38" i="4"/>
  <c r="E38" i="4"/>
  <c r="D38" i="4"/>
  <c r="C38" i="4"/>
  <c r="B38" i="4"/>
  <c r="A38" i="4"/>
  <c r="K19" i="4"/>
  <c r="J19" i="4"/>
  <c r="F19" i="4"/>
  <c r="E19" i="4"/>
  <c r="D19" i="4"/>
  <c r="C19" i="4"/>
  <c r="B19" i="4"/>
  <c r="A19" i="4"/>
  <c r="K100" i="4"/>
  <c r="J100" i="4"/>
  <c r="F100" i="4"/>
  <c r="E100" i="4"/>
  <c r="D100" i="4"/>
  <c r="C100" i="4"/>
  <c r="B100" i="4"/>
  <c r="A100" i="4"/>
  <c r="K97" i="4"/>
  <c r="J97" i="4"/>
  <c r="F97" i="4"/>
  <c r="E97" i="4"/>
  <c r="D97" i="4"/>
  <c r="C97" i="4"/>
  <c r="B97" i="4"/>
  <c r="A97" i="4"/>
  <c r="K34" i="4"/>
  <c r="J34" i="4"/>
  <c r="F34" i="4"/>
  <c r="E34" i="4"/>
  <c r="D34" i="4"/>
  <c r="C34" i="4"/>
  <c r="B34" i="4"/>
  <c r="A34" i="4"/>
  <c r="K48" i="4"/>
  <c r="J48" i="4"/>
  <c r="F48" i="4"/>
  <c r="E48" i="4"/>
  <c r="D48" i="4"/>
  <c r="C48" i="4"/>
  <c r="B48" i="4"/>
  <c r="A48" i="4"/>
  <c r="K16" i="4"/>
  <c r="J16" i="4"/>
  <c r="F16" i="4"/>
  <c r="E16" i="4"/>
  <c r="D16" i="4"/>
  <c r="C16" i="4"/>
  <c r="B16" i="4"/>
  <c r="A16" i="4"/>
  <c r="K99" i="4"/>
  <c r="J99" i="4"/>
  <c r="F99" i="4"/>
  <c r="E99" i="4"/>
  <c r="D99" i="4"/>
  <c r="C99" i="4"/>
  <c r="B99" i="4"/>
  <c r="A99" i="4"/>
  <c r="K93" i="4"/>
  <c r="J93" i="4"/>
  <c r="F93" i="4"/>
  <c r="E93" i="4"/>
  <c r="D93" i="4"/>
  <c r="C93" i="4"/>
  <c r="B93" i="4"/>
  <c r="A93" i="4"/>
  <c r="K70" i="4"/>
  <c r="J70" i="4"/>
  <c r="F70" i="4"/>
  <c r="E70" i="4"/>
  <c r="D70" i="4"/>
  <c r="C70" i="4"/>
  <c r="B70" i="4"/>
  <c r="A70" i="4"/>
  <c r="K72" i="4"/>
  <c r="J72" i="4"/>
  <c r="F72" i="4"/>
  <c r="E72" i="4"/>
  <c r="D72" i="4"/>
  <c r="C72" i="4"/>
  <c r="B72" i="4"/>
  <c r="A72" i="4"/>
  <c r="K82" i="4"/>
  <c r="J82" i="4"/>
  <c r="F82" i="4"/>
  <c r="E82" i="4"/>
  <c r="D82" i="4"/>
  <c r="C82" i="4"/>
  <c r="B82" i="4"/>
  <c r="A82" i="4"/>
  <c r="K69" i="4"/>
  <c r="J69" i="4"/>
  <c r="F69" i="4"/>
  <c r="E69" i="4"/>
  <c r="D69" i="4"/>
  <c r="C69" i="4"/>
  <c r="B69" i="4"/>
  <c r="A69" i="4"/>
  <c r="K29" i="4"/>
  <c r="J29" i="4"/>
  <c r="F29" i="4"/>
  <c r="E29" i="4"/>
  <c r="D29" i="4"/>
  <c r="C29" i="4"/>
  <c r="B29" i="4"/>
  <c r="A29" i="4"/>
  <c r="K33" i="4"/>
  <c r="J33" i="4"/>
  <c r="F33" i="4"/>
  <c r="E33" i="4"/>
  <c r="D33" i="4"/>
  <c r="C33" i="4"/>
  <c r="B33" i="4"/>
  <c r="A33" i="4"/>
  <c r="K71" i="4"/>
  <c r="J71" i="4"/>
  <c r="F71" i="4"/>
  <c r="E71" i="4"/>
  <c r="D71" i="4"/>
  <c r="C71" i="4"/>
  <c r="B71" i="4"/>
  <c r="A71" i="4"/>
  <c r="K39" i="4"/>
  <c r="J39" i="4"/>
  <c r="F39" i="4"/>
  <c r="E39" i="4"/>
  <c r="D39" i="4"/>
  <c r="C39" i="4"/>
  <c r="B39" i="4"/>
  <c r="A39" i="4"/>
  <c r="K40" i="4"/>
  <c r="J40" i="4"/>
  <c r="F40" i="4"/>
  <c r="E40" i="4"/>
  <c r="D40" i="4"/>
  <c r="C40" i="4"/>
  <c r="B40" i="4"/>
  <c r="A40" i="4"/>
  <c r="K43" i="4"/>
  <c r="J43" i="4"/>
  <c r="F43" i="4"/>
  <c r="E43" i="4"/>
  <c r="D43" i="4"/>
  <c r="C43" i="4"/>
  <c r="B43" i="4"/>
  <c r="A43" i="4"/>
  <c r="K65" i="4"/>
  <c r="J65" i="4"/>
  <c r="F65" i="4"/>
  <c r="E65" i="4"/>
  <c r="D65" i="4"/>
  <c r="C65" i="4"/>
  <c r="B65" i="4"/>
  <c r="A65" i="4"/>
  <c r="K7" i="4"/>
  <c r="J7" i="4"/>
  <c r="F7" i="4"/>
  <c r="E7" i="4"/>
  <c r="D7" i="4"/>
  <c r="C7" i="4"/>
  <c r="B7" i="4"/>
  <c r="A7" i="4"/>
  <c r="K5" i="4"/>
  <c r="J5" i="4"/>
  <c r="F5" i="4"/>
  <c r="E5" i="4"/>
  <c r="D5" i="4"/>
  <c r="C5" i="4"/>
  <c r="B5" i="4"/>
  <c r="A5" i="4"/>
  <c r="K64" i="4"/>
  <c r="J64" i="4"/>
  <c r="F64" i="4"/>
  <c r="E64" i="4"/>
  <c r="D64" i="4"/>
  <c r="C64" i="4"/>
  <c r="B64" i="4"/>
  <c r="A64" i="4"/>
  <c r="K63" i="4"/>
  <c r="J63" i="4"/>
  <c r="F63" i="4"/>
  <c r="E63" i="4"/>
  <c r="D63" i="4"/>
  <c r="C63" i="4"/>
  <c r="B63" i="4"/>
  <c r="A63" i="4"/>
  <c r="K13" i="4"/>
  <c r="J13" i="4"/>
  <c r="F13" i="4"/>
  <c r="E13" i="4"/>
  <c r="D13" i="4"/>
  <c r="C13" i="4"/>
  <c r="B13" i="4"/>
  <c r="A13" i="4"/>
  <c r="K96" i="4"/>
  <c r="J96" i="4"/>
  <c r="F96" i="4"/>
  <c r="E96" i="4"/>
  <c r="D96" i="4"/>
  <c r="C96" i="4"/>
  <c r="B96" i="4"/>
  <c r="A96" i="4"/>
  <c r="K83" i="4"/>
  <c r="J83" i="4"/>
  <c r="F83" i="4"/>
  <c r="E83" i="4"/>
  <c r="D83" i="4"/>
  <c r="C83" i="4"/>
  <c r="B83" i="4"/>
  <c r="A83" i="4"/>
  <c r="K86" i="4"/>
  <c r="J86" i="4"/>
  <c r="F86" i="4"/>
  <c r="E86" i="4"/>
  <c r="D86" i="4"/>
  <c r="C86" i="4"/>
  <c r="B86" i="4"/>
  <c r="A86" i="4"/>
  <c r="K21" i="4"/>
  <c r="J21" i="4"/>
  <c r="F21" i="4"/>
  <c r="E21" i="4"/>
  <c r="D21" i="4"/>
  <c r="C21" i="4"/>
  <c r="B21" i="4"/>
  <c r="A21" i="4"/>
  <c r="K42" i="4"/>
  <c r="J42" i="4"/>
  <c r="F42" i="4"/>
  <c r="E42" i="4"/>
  <c r="D42" i="4"/>
  <c r="C42" i="4"/>
  <c r="B42" i="4"/>
  <c r="A42" i="4"/>
  <c r="K92" i="4"/>
  <c r="J92" i="4"/>
  <c r="F92" i="4"/>
  <c r="E92" i="4"/>
  <c r="D92" i="4"/>
  <c r="C92" i="4"/>
  <c r="B92" i="4"/>
  <c r="A92" i="4"/>
  <c r="K50" i="4"/>
  <c r="J50" i="4"/>
  <c r="F50" i="4"/>
  <c r="E50" i="4"/>
  <c r="D50" i="4"/>
  <c r="C50" i="4"/>
  <c r="B50" i="4"/>
  <c r="A50" i="4"/>
  <c r="K12" i="4"/>
  <c r="J12" i="4"/>
  <c r="F12" i="4"/>
  <c r="E12" i="4"/>
  <c r="D12" i="4"/>
  <c r="C12" i="4"/>
  <c r="B12" i="4"/>
  <c r="A12" i="4"/>
  <c r="K80" i="4"/>
  <c r="J80" i="4"/>
  <c r="F80" i="4"/>
  <c r="E80" i="4"/>
  <c r="D80" i="4"/>
  <c r="C80" i="4"/>
  <c r="B80" i="4"/>
  <c r="A80" i="4"/>
  <c r="K89" i="4"/>
  <c r="J89" i="4"/>
  <c r="F89" i="4"/>
  <c r="E89" i="4"/>
  <c r="D89" i="4"/>
  <c r="C89" i="4"/>
  <c r="B89" i="4"/>
  <c r="A89" i="4"/>
  <c r="K77" i="4"/>
  <c r="J77" i="4"/>
  <c r="F77" i="4"/>
  <c r="E77" i="4"/>
  <c r="D77" i="4"/>
  <c r="C77" i="4"/>
  <c r="B77" i="4"/>
  <c r="A77" i="4"/>
  <c r="K103" i="4"/>
  <c r="J103" i="4"/>
  <c r="F103" i="4"/>
  <c r="E103" i="4"/>
  <c r="D103" i="4"/>
  <c r="C103" i="4"/>
  <c r="B103" i="4"/>
  <c r="A103" i="4"/>
  <c r="K105" i="4"/>
  <c r="J105" i="4"/>
  <c r="F105" i="4"/>
  <c r="E105" i="4"/>
  <c r="D105" i="4"/>
  <c r="C105" i="4"/>
  <c r="B105" i="4"/>
  <c r="A105" i="4"/>
  <c r="K62" i="4"/>
  <c r="J62" i="4"/>
  <c r="F62" i="4"/>
  <c r="E62" i="4"/>
  <c r="D62" i="4"/>
  <c r="C62" i="4"/>
  <c r="B62" i="4"/>
  <c r="A62" i="4"/>
  <c r="K101" i="4"/>
  <c r="J101" i="4"/>
  <c r="F101" i="4"/>
  <c r="E101" i="4"/>
  <c r="D101" i="4"/>
  <c r="C101" i="4"/>
  <c r="B101" i="4"/>
  <c r="A101" i="4"/>
  <c r="K3" i="4"/>
  <c r="J3" i="4"/>
  <c r="F3" i="4"/>
  <c r="E3" i="4"/>
  <c r="D3" i="4"/>
  <c r="C3" i="4"/>
  <c r="B3" i="4"/>
  <c r="A3" i="4"/>
  <c r="K61" i="4"/>
  <c r="J61" i="4"/>
  <c r="F61" i="4"/>
  <c r="E61" i="4"/>
  <c r="D61" i="4"/>
  <c r="C61" i="4"/>
  <c r="B61" i="4"/>
  <c r="A61" i="4"/>
  <c r="K90" i="4"/>
  <c r="J90" i="4"/>
  <c r="F90" i="4"/>
  <c r="E90" i="4"/>
  <c r="D90" i="4"/>
  <c r="C90" i="4"/>
  <c r="B90" i="4"/>
  <c r="A90" i="4"/>
  <c r="K88" i="4"/>
  <c r="J88" i="4"/>
  <c r="F88" i="4"/>
  <c r="E88" i="4"/>
  <c r="D88" i="4"/>
  <c r="C88" i="4"/>
  <c r="B88" i="4"/>
  <c r="A88" i="4"/>
  <c r="K23" i="4"/>
  <c r="J23" i="4"/>
  <c r="F23" i="4"/>
  <c r="E23" i="4"/>
  <c r="D23" i="4"/>
  <c r="C23" i="4"/>
  <c r="B23" i="4"/>
  <c r="A23" i="4"/>
  <c r="K60" i="4"/>
  <c r="J60" i="4"/>
  <c r="F60" i="4"/>
  <c r="E60" i="4"/>
  <c r="D60" i="4"/>
  <c r="C60" i="4"/>
  <c r="B60" i="4"/>
  <c r="A60" i="4"/>
  <c r="K2" i="4"/>
  <c r="J2" i="4"/>
  <c r="F2" i="4"/>
  <c r="E2" i="4"/>
  <c r="D2" i="4"/>
  <c r="C2" i="4"/>
  <c r="B2" i="4"/>
  <c r="A2" i="4"/>
  <c r="K6" i="4"/>
  <c r="J6" i="4"/>
  <c r="F6" i="4"/>
  <c r="E6" i="4"/>
  <c r="D6" i="4"/>
  <c r="C6" i="4"/>
  <c r="B6" i="4"/>
  <c r="A6" i="4"/>
  <c r="K59" i="4"/>
  <c r="J59" i="4"/>
  <c r="F59" i="4"/>
  <c r="E59" i="4"/>
  <c r="D59" i="4"/>
  <c r="C59" i="4"/>
  <c r="B59" i="4"/>
  <c r="A59" i="4"/>
  <c r="K24" i="4"/>
  <c r="J24" i="4"/>
  <c r="F24" i="4"/>
  <c r="E24" i="4"/>
  <c r="D24" i="4"/>
  <c r="C24" i="4"/>
  <c r="B24" i="4"/>
  <c r="A24" i="4"/>
  <c r="K102" i="4"/>
  <c r="J102" i="4"/>
  <c r="F102" i="4"/>
  <c r="E102" i="4"/>
  <c r="D102" i="4"/>
  <c r="C102" i="4"/>
  <c r="B102" i="4"/>
  <c r="A102" i="4"/>
  <c r="K30" i="4"/>
  <c r="J30" i="4"/>
  <c r="F30" i="4"/>
  <c r="E30" i="4"/>
  <c r="D30" i="4"/>
  <c r="C30" i="4"/>
  <c r="B30" i="4"/>
  <c r="A30" i="4"/>
  <c r="K45" i="4"/>
  <c r="J45" i="4"/>
  <c r="F45" i="4"/>
  <c r="E45" i="4"/>
  <c r="D45" i="4"/>
  <c r="C45" i="4"/>
  <c r="B45" i="4"/>
  <c r="A45" i="4"/>
  <c r="K98" i="4"/>
  <c r="J98" i="4"/>
  <c r="F98" i="4"/>
  <c r="E98" i="4"/>
  <c r="D98" i="4"/>
  <c r="C98" i="4"/>
  <c r="B98" i="4"/>
  <c r="A98" i="4"/>
  <c r="K87" i="4"/>
  <c r="J87" i="4"/>
  <c r="F87" i="4"/>
  <c r="E87" i="4"/>
  <c r="D87" i="4"/>
  <c r="C87" i="4"/>
  <c r="B87" i="4"/>
  <c r="A87" i="4"/>
  <c r="K81" i="4"/>
  <c r="J81" i="4"/>
  <c r="F81" i="4"/>
  <c r="E81" i="4"/>
  <c r="D81" i="4"/>
  <c r="C81" i="4"/>
  <c r="B81" i="4"/>
  <c r="A81" i="4"/>
  <c r="K85" i="4"/>
  <c r="J85" i="4"/>
  <c r="F85" i="4"/>
  <c r="E85" i="4"/>
  <c r="D85" i="4"/>
  <c r="C85" i="4"/>
  <c r="B85" i="4"/>
  <c r="A85" i="4"/>
  <c r="K49" i="4"/>
  <c r="J49" i="4"/>
  <c r="F49" i="4"/>
  <c r="E49" i="4"/>
  <c r="D49" i="4"/>
  <c r="C49" i="4"/>
  <c r="B49" i="4"/>
  <c r="A49" i="4"/>
  <c r="K32" i="4"/>
  <c r="J32" i="4"/>
  <c r="F32" i="4"/>
  <c r="E32" i="4"/>
  <c r="D32" i="4"/>
  <c r="C32" i="4"/>
  <c r="B32" i="4"/>
  <c r="A32" i="4"/>
  <c r="K76" i="4"/>
  <c r="J76" i="4"/>
  <c r="F76" i="4"/>
  <c r="E76" i="4"/>
  <c r="D76" i="4"/>
  <c r="C76" i="4"/>
  <c r="B76" i="4"/>
  <c r="A76" i="4"/>
  <c r="K73" i="4"/>
  <c r="J73" i="4"/>
  <c r="F73" i="4"/>
  <c r="E73" i="4"/>
  <c r="D73" i="4"/>
  <c r="C73" i="4"/>
  <c r="B73" i="4"/>
  <c r="A73" i="4"/>
  <c r="K47" i="4"/>
  <c r="J47" i="4"/>
  <c r="F47" i="4"/>
  <c r="E47" i="4"/>
  <c r="D47" i="4"/>
  <c r="C47" i="4"/>
  <c r="B47" i="4"/>
  <c r="A47" i="4"/>
  <c r="K17" i="4"/>
  <c r="J17" i="4"/>
  <c r="F17" i="4"/>
  <c r="E17" i="4"/>
  <c r="D17" i="4"/>
  <c r="C17" i="4"/>
  <c r="B17" i="4"/>
  <c r="A17" i="4"/>
  <c r="K15" i="4"/>
  <c r="J15" i="4"/>
  <c r="F15" i="4"/>
  <c r="E15" i="4"/>
  <c r="D15" i="4"/>
  <c r="C15" i="4"/>
  <c r="B15" i="4"/>
  <c r="A15" i="4"/>
  <c r="K58" i="4"/>
  <c r="J58" i="4"/>
  <c r="F58" i="4"/>
  <c r="E58" i="4"/>
  <c r="D58" i="4"/>
  <c r="C58" i="4"/>
  <c r="B58" i="4"/>
  <c r="A58" i="4"/>
  <c r="K84" i="4"/>
  <c r="J84" i="4"/>
  <c r="F84" i="4"/>
  <c r="E84" i="4"/>
  <c r="D84" i="4"/>
  <c r="C84" i="4"/>
  <c r="B84" i="4"/>
  <c r="A84" i="4"/>
  <c r="K94" i="4"/>
  <c r="J94" i="4"/>
  <c r="F94" i="4"/>
  <c r="E94" i="4"/>
  <c r="D94" i="4"/>
  <c r="C94" i="4"/>
  <c r="B94" i="4"/>
  <c r="A94" i="4"/>
  <c r="K57" i="4"/>
  <c r="J57" i="4"/>
  <c r="F57" i="4"/>
  <c r="E57" i="4"/>
  <c r="D57" i="4"/>
  <c r="C57" i="4"/>
  <c r="B57" i="4"/>
  <c r="A57" i="4"/>
  <c r="K26" i="4"/>
  <c r="J26" i="4"/>
  <c r="F26" i="4"/>
  <c r="E26" i="4"/>
  <c r="D26" i="4"/>
  <c r="C26" i="4"/>
  <c r="B26" i="4"/>
  <c r="A26" i="4"/>
  <c r="K91" i="4"/>
  <c r="J91" i="4"/>
  <c r="F91" i="4"/>
  <c r="E91" i="4"/>
  <c r="D91" i="4"/>
  <c r="C91" i="4"/>
  <c r="B91" i="4"/>
  <c r="A91" i="4"/>
  <c r="K18" i="4"/>
  <c r="J18" i="4"/>
  <c r="F18" i="4"/>
  <c r="E18" i="4"/>
  <c r="D18" i="4"/>
  <c r="C18" i="4"/>
  <c r="B18" i="4"/>
  <c r="A18" i="4"/>
  <c r="K56" i="4"/>
  <c r="J56" i="4"/>
  <c r="F56" i="4"/>
  <c r="E56" i="4"/>
  <c r="D56" i="4"/>
  <c r="C56" i="4"/>
  <c r="B56" i="4"/>
  <c r="A56" i="4"/>
  <c r="K4" i="4"/>
  <c r="J4" i="4"/>
  <c r="F4" i="4"/>
  <c r="E4" i="4"/>
  <c r="D4" i="4"/>
  <c r="C4" i="4"/>
  <c r="B4" i="4"/>
  <c r="A4" i="4"/>
  <c r="K14" i="4"/>
  <c r="J14" i="4"/>
  <c r="F14" i="4"/>
  <c r="E14" i="4"/>
  <c r="D14" i="4"/>
  <c r="C14" i="4"/>
  <c r="B14" i="4"/>
  <c r="A14" i="4"/>
  <c r="K55" i="4"/>
  <c r="J55" i="4"/>
  <c r="F55" i="4"/>
  <c r="E55" i="4"/>
  <c r="D55" i="4"/>
  <c r="C55" i="4"/>
  <c r="B55" i="4"/>
  <c r="A55" i="4"/>
  <c r="K54" i="4"/>
  <c r="J54" i="4"/>
  <c r="F54" i="4"/>
  <c r="E54" i="4"/>
  <c r="D54" i="4"/>
  <c r="C54" i="4"/>
  <c r="B54" i="4"/>
  <c r="A54" i="4"/>
  <c r="K104" i="4"/>
  <c r="J104" i="4"/>
  <c r="F104" i="4"/>
  <c r="E104" i="4"/>
  <c r="D104" i="4"/>
  <c r="C104" i="4"/>
  <c r="B104" i="4"/>
  <c r="A104" i="4"/>
  <c r="K20" i="4"/>
  <c r="J20" i="4"/>
  <c r="F20" i="4"/>
  <c r="E20" i="4"/>
  <c r="D20" i="4"/>
  <c r="C20" i="4"/>
  <c r="B20" i="4"/>
  <c r="A20" i="4"/>
  <c r="K27" i="4"/>
  <c r="J27" i="4"/>
  <c r="F27" i="4"/>
  <c r="E27" i="4"/>
  <c r="D27" i="4"/>
  <c r="C27" i="4"/>
  <c r="B27" i="4"/>
  <c r="A27" i="4"/>
  <c r="K9" i="4"/>
  <c r="J9" i="4"/>
  <c r="F9" i="4"/>
  <c r="E9" i="4"/>
  <c r="D9" i="4"/>
  <c r="C9" i="4"/>
  <c r="B9" i="4"/>
  <c r="A9" i="4"/>
  <c r="K37" i="4"/>
  <c r="J37" i="4"/>
  <c r="F37" i="4"/>
  <c r="E37" i="4"/>
  <c r="D37" i="4"/>
  <c r="C37" i="4"/>
  <c r="B37" i="4"/>
  <c r="A37" i="4"/>
  <c r="K53" i="4"/>
  <c r="J53" i="4"/>
  <c r="F53" i="4"/>
  <c r="E53" i="4"/>
  <c r="D53" i="4"/>
  <c r="C53" i="4"/>
  <c r="B53" i="4"/>
  <c r="A53" i="4"/>
  <c r="K41" i="4"/>
  <c r="J41" i="4"/>
  <c r="F41" i="4"/>
  <c r="E41" i="4"/>
  <c r="D41" i="4"/>
  <c r="C41" i="4"/>
  <c r="B41" i="4"/>
  <c r="A41" i="4"/>
  <c r="K75" i="4"/>
  <c r="J75" i="4"/>
  <c r="F75" i="4"/>
  <c r="E75" i="4"/>
  <c r="D75" i="4"/>
  <c r="C75" i="4"/>
  <c r="B75" i="4"/>
  <c r="A75" i="4"/>
  <c r="K74" i="4"/>
  <c r="J74" i="4"/>
  <c r="F74" i="4"/>
  <c r="E74" i="4"/>
  <c r="D74" i="4"/>
  <c r="C74" i="4"/>
  <c r="B74" i="4"/>
  <c r="A74" i="4"/>
  <c r="K22" i="4"/>
  <c r="J22" i="4"/>
  <c r="F22" i="4"/>
  <c r="E22" i="4"/>
  <c r="D22" i="4"/>
  <c r="C22" i="4"/>
  <c r="B22" i="4"/>
  <c r="A22" i="4"/>
  <c r="K78" i="4"/>
  <c r="J78" i="4"/>
  <c r="F78" i="4"/>
  <c r="E78" i="4"/>
  <c r="D78" i="4"/>
  <c r="C78" i="4"/>
  <c r="B78" i="4"/>
  <c r="A78" i="4"/>
  <c r="K79" i="4"/>
  <c r="J79" i="4"/>
  <c r="F79" i="4"/>
  <c r="E79" i="4"/>
  <c r="D79" i="4"/>
  <c r="C79" i="4"/>
  <c r="B79" i="4"/>
  <c r="A79" i="4"/>
  <c r="K10" i="4"/>
  <c r="J10" i="4"/>
  <c r="F10" i="4"/>
  <c r="E10" i="4"/>
  <c r="D10" i="4"/>
  <c r="C10" i="4"/>
  <c r="B10" i="4"/>
  <c r="A10" i="4"/>
  <c r="K11" i="4"/>
  <c r="J11" i="4"/>
  <c r="F11" i="4"/>
  <c r="E11" i="4"/>
  <c r="D11" i="4"/>
  <c r="C11" i="4"/>
  <c r="B11" i="4"/>
  <c r="A11" i="4"/>
  <c r="K46" i="4"/>
  <c r="J46" i="4"/>
  <c r="F46" i="4"/>
  <c r="E46" i="4"/>
  <c r="D46" i="4"/>
  <c r="C46" i="4"/>
  <c r="B46" i="4"/>
  <c r="A46" i="4"/>
  <c r="K36" i="4"/>
  <c r="J36" i="4"/>
  <c r="F36" i="4"/>
  <c r="E36" i="4"/>
  <c r="D36" i="4"/>
  <c r="C36" i="4"/>
  <c r="B36" i="4"/>
  <c r="A36" i="4"/>
  <c r="K95" i="4"/>
  <c r="J95" i="4"/>
  <c r="F95" i="4"/>
  <c r="E95" i="4"/>
  <c r="D95" i="4"/>
  <c r="C95" i="4"/>
  <c r="B95" i="4"/>
  <c r="A95" i="4"/>
  <c r="K51" i="4"/>
  <c r="J51" i="4"/>
  <c r="F51" i="4"/>
  <c r="E51" i="4"/>
  <c r="D51" i="4"/>
  <c r="C51" i="4"/>
  <c r="B51" i="4"/>
  <c r="A51" i="4"/>
  <c r="K31" i="4"/>
  <c r="J31" i="4"/>
  <c r="F31" i="4"/>
  <c r="E31" i="4"/>
  <c r="D31" i="4"/>
  <c r="C31" i="4"/>
  <c r="B31" i="4"/>
  <c r="A31" i="4"/>
  <c r="K8" i="4"/>
  <c r="J8" i="4"/>
  <c r="F8" i="4"/>
  <c r="E8" i="4"/>
  <c r="D8" i="4"/>
  <c r="C8" i="4"/>
  <c r="B8" i="4"/>
  <c r="A8" i="4"/>
  <c r="K44" i="4"/>
  <c r="J44" i="4"/>
  <c r="F44" i="4"/>
  <c r="E44" i="4"/>
  <c r="D44" i="4"/>
  <c r="C44" i="4"/>
  <c r="B44" i="4"/>
  <c r="A44" i="4"/>
  <c r="K52" i="4"/>
  <c r="J52" i="4"/>
  <c r="F52" i="4"/>
  <c r="E52" i="4"/>
  <c r="D52" i="4"/>
  <c r="C52" i="4"/>
  <c r="B52" i="4"/>
  <c r="A52" i="4"/>
  <c r="K25" i="4"/>
  <c r="J25" i="4"/>
  <c r="F25" i="4"/>
  <c r="E25" i="4"/>
  <c r="D25" i="4"/>
  <c r="C25" i="4"/>
  <c r="B25" i="4"/>
  <c r="A25" i="4"/>
  <c r="K28" i="4"/>
  <c r="J28" i="4"/>
  <c r="F28" i="4"/>
  <c r="E28" i="4"/>
  <c r="D28" i="4"/>
  <c r="C28" i="4"/>
  <c r="B28" i="4"/>
  <c r="A28" i="4"/>
  <c r="D6" i="5" l="1"/>
  <c r="C10" i="5"/>
  <c r="B10" i="5"/>
  <c r="F10" i="6"/>
  <c r="I25" i="4"/>
  <c r="I32" i="4"/>
  <c r="I85" i="4"/>
  <c r="I60" i="4"/>
  <c r="I33" i="4"/>
  <c r="I29" i="4"/>
  <c r="I69" i="4"/>
  <c r="I82" i="4"/>
  <c r="I72" i="4"/>
  <c r="I93" i="4"/>
  <c r="I48" i="4"/>
  <c r="I34" i="4"/>
  <c r="I97" i="4"/>
  <c r="I38" i="4"/>
  <c r="I35" i="4"/>
  <c r="G3" i="4"/>
  <c r="G101" i="4"/>
  <c r="G12" i="4"/>
  <c r="H12" i="4" s="1"/>
  <c r="G42" i="4"/>
  <c r="H42" i="4" s="1"/>
  <c r="G96" i="4"/>
  <c r="H96" i="4" s="1"/>
  <c r="G64" i="4"/>
  <c r="H64" i="4" s="1"/>
  <c r="G40" i="4"/>
  <c r="H40" i="4" s="1"/>
  <c r="G71" i="4"/>
  <c r="H71" i="4" s="1"/>
  <c r="G70" i="4"/>
  <c r="H70" i="4" s="1"/>
  <c r="I102" i="4"/>
  <c r="I90" i="4"/>
  <c r="I103" i="4"/>
  <c r="I77" i="4"/>
  <c r="I89" i="4"/>
  <c r="I21" i="4"/>
  <c r="I86" i="4"/>
  <c r="I83" i="4"/>
  <c r="I63" i="4"/>
  <c r="I7" i="4"/>
  <c r="I65" i="4"/>
  <c r="I43" i="4"/>
  <c r="G85" i="4"/>
  <c r="H85" i="4" s="1"/>
  <c r="G19" i="4"/>
  <c r="H19" i="4" s="1"/>
  <c r="G66" i="4"/>
  <c r="H66" i="4" s="1"/>
  <c r="G67" i="4"/>
  <c r="H67" i="4" s="1"/>
  <c r="I16" i="4"/>
  <c r="I31" i="4"/>
  <c r="I51" i="4"/>
  <c r="I95" i="4"/>
  <c r="I36" i="4"/>
  <c r="G46" i="4"/>
  <c r="H46" i="4" s="1"/>
  <c r="G11" i="4"/>
  <c r="H11" i="4" s="1"/>
  <c r="I10" i="4"/>
  <c r="I79" i="4"/>
  <c r="G78" i="4"/>
  <c r="H78" i="4" s="1"/>
  <c r="I41" i="4"/>
  <c r="G27" i="4"/>
  <c r="H27" i="4" s="1"/>
  <c r="I20" i="4"/>
  <c r="I104" i="4"/>
  <c r="I54" i="4"/>
  <c r="I55" i="4"/>
  <c r="I56" i="4"/>
  <c r="G18" i="4"/>
  <c r="H18" i="4" s="1"/>
  <c r="I91" i="4"/>
  <c r="I26" i="4"/>
  <c r="I57" i="4"/>
  <c r="G84" i="4"/>
  <c r="H84" i="4" s="1"/>
  <c r="G17" i="4"/>
  <c r="H17" i="4" s="1"/>
  <c r="G99" i="4"/>
  <c r="G49" i="4"/>
  <c r="H49" i="4" s="1"/>
  <c r="I46" i="4"/>
  <c r="G53" i="4"/>
  <c r="H53" i="4" s="1"/>
  <c r="I37" i="4"/>
  <c r="I9" i="4"/>
  <c r="I105" i="4"/>
  <c r="I80" i="4"/>
  <c r="I50" i="4"/>
  <c r="I67" i="4"/>
  <c r="I68" i="4"/>
  <c r="G80" i="4"/>
  <c r="H80" i="4" s="1"/>
  <c r="I94" i="4"/>
  <c r="I15" i="4"/>
  <c r="I92" i="4"/>
  <c r="G83" i="4"/>
  <c r="H83" i="4" s="1"/>
  <c r="F9" i="5"/>
  <c r="I27" i="4"/>
  <c r="I59" i="4"/>
  <c r="I6" i="4"/>
  <c r="G2" i="4"/>
  <c r="H2" i="4" s="1"/>
  <c r="G50" i="4"/>
  <c r="H50" i="4" s="1"/>
  <c r="G43" i="4"/>
  <c r="H43" i="4" s="1"/>
  <c r="F7" i="5"/>
  <c r="G4" i="4"/>
  <c r="H4" i="4" s="1"/>
  <c r="I87" i="4"/>
  <c r="I98" i="4"/>
  <c r="I23" i="4"/>
  <c r="I88" i="4"/>
  <c r="I64" i="4"/>
  <c r="G29" i="4"/>
  <c r="H29" i="4" s="1"/>
  <c r="G6" i="4"/>
  <c r="G52" i="4"/>
  <c r="H52" i="4" s="1"/>
  <c r="I44" i="4"/>
  <c r="G31" i="4"/>
  <c r="H31" i="4" s="1"/>
  <c r="I78" i="4"/>
  <c r="G14" i="4"/>
  <c r="H14" i="4" s="1"/>
  <c r="I17" i="4"/>
  <c r="I45" i="4"/>
  <c r="I30" i="4"/>
  <c r="I2" i="4"/>
  <c r="G90" i="4"/>
  <c r="H90" i="4" s="1"/>
  <c r="I101" i="4"/>
  <c r="G92" i="4"/>
  <c r="H92" i="4" s="1"/>
  <c r="G63" i="4"/>
  <c r="H63" i="4" s="1"/>
  <c r="G94" i="4"/>
  <c r="H94" i="4" s="1"/>
  <c r="I24" i="4"/>
  <c r="G62" i="4"/>
  <c r="H62" i="4" s="1"/>
  <c r="G51" i="4"/>
  <c r="H51" i="4" s="1"/>
  <c r="I58" i="4"/>
  <c r="G24" i="4"/>
  <c r="H24" i="4" s="1"/>
  <c r="I13" i="4"/>
  <c r="G5" i="4"/>
  <c r="I39" i="4"/>
  <c r="G48" i="4"/>
  <c r="H48" i="4" s="1"/>
  <c r="G72" i="4"/>
  <c r="H72" i="4" s="1"/>
  <c r="G100" i="4"/>
  <c r="H100" i="4" s="1"/>
  <c r="G36" i="4"/>
  <c r="H36" i="4" s="1"/>
  <c r="I22" i="4"/>
  <c r="I74" i="4"/>
  <c r="I75" i="4"/>
  <c r="G41" i="4"/>
  <c r="H41" i="4" s="1"/>
  <c r="I18" i="4"/>
  <c r="I47" i="4"/>
  <c r="I73" i="4"/>
  <c r="I76" i="4"/>
  <c r="G32" i="4"/>
  <c r="H32" i="4" s="1"/>
  <c r="G59" i="4"/>
  <c r="H59" i="4" s="1"/>
  <c r="G60" i="4"/>
  <c r="H60" i="4" s="1"/>
  <c r="I12" i="4"/>
  <c r="I42" i="4"/>
  <c r="I5" i="4"/>
  <c r="I71" i="4"/>
  <c r="I99" i="4"/>
  <c r="I66" i="4"/>
  <c r="G35" i="4"/>
  <c r="H35" i="4" s="1"/>
  <c r="G33" i="4"/>
  <c r="H33" i="4" s="1"/>
  <c r="G16" i="4"/>
  <c r="H16" i="4" s="1"/>
  <c r="I100" i="4"/>
  <c r="G15" i="4"/>
  <c r="H15" i="4" s="1"/>
  <c r="I62" i="4"/>
  <c r="G89" i="4"/>
  <c r="H89" i="4" s="1"/>
  <c r="I28" i="4"/>
  <c r="G25" i="4"/>
  <c r="H25" i="4" s="1"/>
  <c r="G55" i="4"/>
  <c r="H55" i="4" s="1"/>
  <c r="G58" i="4"/>
  <c r="H58" i="4" s="1"/>
  <c r="I81" i="4"/>
  <c r="G87" i="4"/>
  <c r="H87" i="4" s="1"/>
  <c r="G61" i="4"/>
  <c r="H61" i="4" s="1"/>
  <c r="I3" i="4"/>
  <c r="G13" i="4"/>
  <c r="H13" i="4" s="1"/>
  <c r="G39" i="4"/>
  <c r="H39" i="4" s="1"/>
  <c r="G93" i="4"/>
  <c r="H93" i="4" s="1"/>
  <c r="G38" i="4"/>
  <c r="H38" i="4" s="1"/>
  <c r="I11" i="4"/>
  <c r="G95" i="4"/>
  <c r="H95" i="4" s="1"/>
  <c r="G74" i="4"/>
  <c r="H74" i="4" s="1"/>
  <c r="G104" i="4"/>
  <c r="G45" i="4"/>
  <c r="H45" i="4" s="1"/>
  <c r="G28" i="4"/>
  <c r="H28" i="4" s="1"/>
  <c r="I52" i="4"/>
  <c r="G75" i="4"/>
  <c r="H75" i="4" s="1"/>
  <c r="I53" i="4"/>
  <c r="G54" i="4"/>
  <c r="H54" i="4" s="1"/>
  <c r="I14" i="4"/>
  <c r="G57" i="4"/>
  <c r="H57" i="4" s="1"/>
  <c r="I84" i="4"/>
  <c r="G76" i="4"/>
  <c r="H76" i="4" s="1"/>
  <c r="I49" i="4"/>
  <c r="G30" i="4"/>
  <c r="H30" i="4" s="1"/>
  <c r="G88" i="4"/>
  <c r="H88" i="4" s="1"/>
  <c r="I61" i="4"/>
  <c r="G77" i="4"/>
  <c r="H77" i="4" s="1"/>
  <c r="G86" i="4"/>
  <c r="H86" i="4" s="1"/>
  <c r="I96" i="4"/>
  <c r="G65" i="4"/>
  <c r="H65" i="4" s="1"/>
  <c r="I40" i="4"/>
  <c r="G82" i="4"/>
  <c r="H82" i="4" s="1"/>
  <c r="I70" i="4"/>
  <c r="G97" i="4"/>
  <c r="H97" i="4" s="1"/>
  <c r="I19" i="4"/>
  <c r="E7" i="5"/>
  <c r="E7" i="6" s="1"/>
  <c r="G7" i="6" s="1"/>
  <c r="G44" i="4"/>
  <c r="H44" i="4" s="1"/>
  <c r="G10" i="4"/>
  <c r="H10" i="4" s="1"/>
  <c r="G37" i="4"/>
  <c r="H37" i="4" s="1"/>
  <c r="G22" i="4"/>
  <c r="H22" i="4" s="1"/>
  <c r="G20" i="4"/>
  <c r="H20" i="4" s="1"/>
  <c r="G91" i="4"/>
  <c r="H91" i="4" s="1"/>
  <c r="G47" i="4"/>
  <c r="H47" i="4" s="1"/>
  <c r="G98" i="4"/>
  <c r="G105" i="4"/>
  <c r="D8" i="5"/>
  <c r="B6" i="6"/>
  <c r="B7" i="6"/>
  <c r="B8" i="6"/>
  <c r="B9" i="6"/>
  <c r="I4" i="4"/>
  <c r="G102" i="4"/>
  <c r="E8" i="5"/>
  <c r="E8" i="6" s="1"/>
  <c r="G8" i="6" s="1"/>
  <c r="C6" i="6"/>
  <c r="C7" i="6"/>
  <c r="C8" i="6"/>
  <c r="C9" i="6"/>
  <c r="G8" i="4"/>
  <c r="G79" i="4"/>
  <c r="H79" i="4" s="1"/>
  <c r="G9" i="4"/>
  <c r="G56" i="4"/>
  <c r="H56" i="4" s="1"/>
  <c r="G81" i="4"/>
  <c r="H81" i="4" s="1"/>
  <c r="F8" i="5"/>
  <c r="G34" i="4"/>
  <c r="H34" i="4" s="1"/>
  <c r="G68" i="4"/>
  <c r="H68" i="4" s="1"/>
  <c r="E6" i="5"/>
  <c r="D9" i="5"/>
  <c r="G26" i="4"/>
  <c r="H26" i="4" s="1"/>
  <c r="G21" i="4"/>
  <c r="H21" i="4" s="1"/>
  <c r="G7" i="4"/>
  <c r="I8" i="4"/>
  <c r="F6" i="5"/>
  <c r="E9" i="5"/>
  <c r="E9" i="6" s="1"/>
  <c r="G9" i="6" s="1"/>
  <c r="G73" i="4"/>
  <c r="H73" i="4" s="1"/>
  <c r="G23" i="4"/>
  <c r="H23" i="4" s="1"/>
  <c r="G103" i="4"/>
  <c r="G69" i="4"/>
  <c r="H69" i="4" s="1"/>
  <c r="D7" i="5"/>
  <c r="B16" i="5" l="1"/>
  <c r="C16" i="5" s="1"/>
  <c r="H99" i="4"/>
  <c r="H3" i="4"/>
  <c r="H101" i="4"/>
  <c r="H5" i="4"/>
  <c r="H6" i="4"/>
  <c r="D18" i="5"/>
  <c r="E18" i="5" s="1"/>
  <c r="B18" i="5"/>
  <c r="C18" i="5" s="1"/>
  <c r="F10" i="5"/>
  <c r="H8" i="4"/>
  <c r="H105" i="4"/>
  <c r="H104" i="4"/>
  <c r="H7" i="4"/>
  <c r="D16" i="5"/>
  <c r="D10" i="5"/>
  <c r="D9" i="6"/>
  <c r="H98" i="4"/>
  <c r="H103" i="4"/>
  <c r="C10" i="6"/>
  <c r="D8" i="6"/>
  <c r="D17" i="5"/>
  <c r="E17" i="5" s="1"/>
  <c r="B17" i="5"/>
  <c r="C17" i="5" s="1"/>
  <c r="D19" i="5"/>
  <c r="E19" i="5" s="1"/>
  <c r="B19" i="5"/>
  <c r="C19" i="5" s="1"/>
  <c r="D7" i="6"/>
  <c r="E6" i="6"/>
  <c r="E10" i="5"/>
  <c r="H9" i="4"/>
  <c r="H102" i="4"/>
  <c r="D6" i="6"/>
  <c r="B10" i="6"/>
  <c r="D10" i="6" l="1"/>
  <c r="D20" i="5"/>
  <c r="E20" i="5" s="1"/>
  <c r="C20" i="5"/>
  <c r="G6" i="6"/>
  <c r="E10" i="6"/>
  <c r="G10" i="6" s="1"/>
</calcChain>
</file>

<file path=xl/sharedStrings.xml><?xml version="1.0" encoding="utf-8"?>
<sst xmlns="http://schemas.openxmlformats.org/spreadsheetml/2006/main" count="315" uniqueCount="105">
  <si>
    <t>Workforce Cost Variance Model — Notes &amp; Methodology</t>
  </si>
  <si>
    <t>Scope</t>
  </si>
  <si>
    <t>Scenario definitions</t>
  </si>
  <si>
    <t xml:space="preserve">  Plan</t>
  </si>
  <si>
    <t>Original 2026 budget, set once at start of year.</t>
  </si>
  <si>
    <t xml:space="preserve">  Prior Forecast</t>
  </si>
  <si>
    <t>Most recent 2026 re-forecast before the current one.</t>
  </si>
  <si>
    <t xml:space="preserve">  Current Forecast</t>
  </si>
  <si>
    <t>Latest 2026 re-forecast (this model's "forecast" for variance purposes).</t>
  </si>
  <si>
    <t xml:space="preserve">  Actual</t>
  </si>
  <si>
    <t>Only available for 2025 (last closed year). No 2026 actual exists yet in source data.</t>
  </si>
  <si>
    <t>Variance methodology</t>
  </si>
  <si>
    <t xml:space="preserve">  Budget variance</t>
  </si>
  <si>
    <t>Current Forecast minus Plan. Negative = under budget (favorable). Positive = over budget (unfavorable).</t>
  </si>
  <si>
    <t xml:space="preserve">  Re-forecast drift</t>
  </si>
  <si>
    <t>Efficiency methodology</t>
  </si>
  <si>
    <t xml:space="preserve">  Primary ratio</t>
  </si>
  <si>
    <t>Labor $ per rental transaction, using 2025 Actual labor cost / 2025 Actual transactions (clean, both-actual basis).</t>
  </si>
  <si>
    <t xml:space="preserve">  Secondary ratio</t>
  </si>
  <si>
    <t>2026 Plan labor cost / 2026 Plan transactions, compared to the 2025 actual ratio to see if the budget assumes efficiency improves or erodes.</t>
  </si>
  <si>
    <t>Location</t>
  </si>
  <si>
    <t>Position</t>
  </si>
  <si>
    <t>FTE
Cur.Fcst</t>
  </si>
  <si>
    <t>FTE
Prior Fcst</t>
  </si>
  <si>
    <t>FTE
Plan</t>
  </si>
  <si>
    <t>FTE
Actual 2025</t>
  </si>
  <si>
    <t>Salary $
Cur.Fcst</t>
  </si>
  <si>
    <t>Salary $
Prior Fcst</t>
  </si>
  <si>
    <t>Salary $
Plan</t>
  </si>
  <si>
    <t>Salary $
Actual 2025</t>
  </si>
  <si>
    <t>OT $
Cur.Fcst</t>
  </si>
  <si>
    <t>OT $
Prior Fcst</t>
  </si>
  <si>
    <t>OT $
Plan</t>
  </si>
  <si>
    <t>OT $
Actual 2025</t>
  </si>
  <si>
    <t>Location 1</t>
  </si>
  <si>
    <t>Position A</t>
  </si>
  <si>
    <t>Position B</t>
  </si>
  <si>
    <t>Position C</t>
  </si>
  <si>
    <t>Position D</t>
  </si>
  <si>
    <t>Position E</t>
  </si>
  <si>
    <t>Position F</t>
  </si>
  <si>
    <t>Position G</t>
  </si>
  <si>
    <t>Position H</t>
  </si>
  <si>
    <t>Position I</t>
  </si>
  <si>
    <t>Position J</t>
  </si>
  <si>
    <t>Position K</t>
  </si>
  <si>
    <t>Position L</t>
  </si>
  <si>
    <t>Position M</t>
  </si>
  <si>
    <t>Position N</t>
  </si>
  <si>
    <t>Position O</t>
  </si>
  <si>
    <t>Position P</t>
  </si>
  <si>
    <t>Position Q</t>
  </si>
  <si>
    <t>Position R</t>
  </si>
  <si>
    <t>Position S</t>
  </si>
  <si>
    <t>Position T</t>
  </si>
  <si>
    <t>Position U</t>
  </si>
  <si>
    <t>Position V</t>
  </si>
  <si>
    <t>Position W</t>
  </si>
  <si>
    <t>Position X</t>
  </si>
  <si>
    <t>Position Y</t>
  </si>
  <si>
    <t>Position Z</t>
  </si>
  <si>
    <t>Location 2</t>
  </si>
  <si>
    <t>Location 3</t>
  </si>
  <si>
    <t>Location 4</t>
  </si>
  <si>
    <t>Source: Workforce_Analysis.xlsx, "Workforce Data" tab, rows 5-111 (as provided by user).</t>
  </si>
  <si>
    <t>Rental Transactions
2026 Actual (YTD)</t>
  </si>
  <si>
    <t>Rental Transactions
2026 Prior Forecast</t>
  </si>
  <si>
    <t>Rental Transactions
2026 Plan</t>
  </si>
  <si>
    <t>Rental Transactions
2025 Actual</t>
  </si>
  <si>
    <t>Labor $
Cur.Fcst</t>
  </si>
  <si>
    <t>Labor $
Prior Fcst</t>
  </si>
  <si>
    <t>Labor $
Plan</t>
  </si>
  <si>
    <t>Labor $
Actual 2025</t>
  </si>
  <si>
    <t>Var $ vs Plan
(Budget)</t>
  </si>
  <si>
    <t>Var % vs Plan
(Budget)</t>
  </si>
  <si>
    <t>Var $ vs
Prior Fcst</t>
  </si>
  <si>
    <t>FTE Var
vs Plan</t>
  </si>
  <si>
    <t>OT % of Salary
(Cur.Fcst)</t>
  </si>
  <si>
    <t>Var $ vs Plan</t>
  </si>
  <si>
    <t>Var % vs Plan</t>
  </si>
  <si>
    <t>Company Total</t>
  </si>
  <si>
    <t>Labor $
Plan 2026</t>
  </si>
  <si>
    <t>Top 8 Favorable (largest cost savings vs Plan)</t>
  </si>
  <si>
    <t>Labor $ Plan</t>
  </si>
  <si>
    <t>FTE Var vs Plan</t>
  </si>
  <si>
    <t>Top 8 Unfavorable (largest cost overruns vs Plan)</t>
  </si>
  <si>
    <t>Rental Transactions
Actual 2025</t>
  </si>
  <si>
    <t>Rental Transactions
Plan 2026</t>
  </si>
  <si>
    <t>Labor $/Transactions
Actual 2025
(clean baseline)</t>
  </si>
  <si>
    <t>Labor $/Transactions
Plan 2026</t>
  </si>
  <si>
    <t>OT % of  Salary
Actual 2025</t>
  </si>
  <si>
    <t>OT % of  Salary
Plan</t>
  </si>
  <si>
    <t xml:space="preserve">           (.85%)</t>
  </si>
  <si>
    <t>currently ranked from min Var- Plan</t>
  </si>
  <si>
    <t>then reversed from greatest to least to observe favorable and unfavorable outcomes</t>
  </si>
  <si>
    <t>FTE
Current Forecast</t>
  </si>
  <si>
    <t>Labor $
Current  Forecast</t>
  </si>
  <si>
    <t>Labor $
Prior   Forecast</t>
  </si>
  <si>
    <t>Var $ vs
Prior   Forecast</t>
  </si>
  <si>
    <t>Var % vs
Prior   Forecast</t>
  </si>
  <si>
    <t>OT % of  Salary
Current  Forecast</t>
  </si>
  <si>
    <t>Current Forecast minus Prior Forecast. Shows whether the latest view is trending up or down vs the prior update.</t>
  </si>
  <si>
    <t>Labor = Salary + Overtime  = Total Labor Cost before benefits.</t>
  </si>
  <si>
    <t>4 locations x 26 positions (Workforce Data, Transaction Data tabs).</t>
  </si>
  <si>
    <t>Labor $ Current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</si>
</sst>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;\(#,##0.0\);\-"/>
    <numFmt numFmtId="165" formatCode="\$#,##0;&quot;($&quot;#,##0\);\-"/>
    <numFmt numFmtId="166" formatCode="0.0%;\(0.0%\);\-"/>
    <numFmt numFmtId="167" formatCode="\$#,##0.00"/>
    <numFmt numFmtId="169" formatCode="#,##0;\(#,##0\);\-"/>
    <numFmt numFmtId="176" formatCode="0.00%;\(0.00%\);\-"/>
  </numFmts>
  <fonts count="18" x14ac:knownFonts="1">
    <font>
      <sz val="11"/>
      <color theme="1"/>
      <name val="Calibri"/>
      <family val="2"/>
      <charset val="1"/>
    </font>
    <font>
      <b/>
      <sz val="14"/>
      <color rgb="FF1E2761"/>
      <name val="Arial"/>
      <family val="2"/>
    </font>
    <font>
      <sz val="11"/>
      <name val="Arial"/>
      <family val="2"/>
    </font>
    <font>
      <b/>
      <sz val="11"/>
      <color rgb="FF1E2761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i/>
      <sz val="9"/>
      <color rgb="FF666666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charset val="1"/>
    </font>
    <font>
      <sz val="11"/>
      <color rgb="FF006600"/>
      <name val="Arial"/>
      <family val="2"/>
    </font>
    <font>
      <sz val="11"/>
      <color rgb="FF008000"/>
      <name val="Arial"/>
      <charset val="1"/>
    </font>
    <font>
      <b/>
      <sz val="11"/>
      <color rgb="FFFFFFFF"/>
      <name val="Arial"/>
      <charset val="1"/>
    </font>
    <font>
      <b/>
      <sz val="11"/>
      <color rgb="FF1E2761"/>
      <name val="Arial"/>
      <charset val="1"/>
    </font>
    <font>
      <sz val="11"/>
      <color rgb="FFC00000"/>
      <name val="Arial"/>
      <family val="2"/>
    </font>
    <font>
      <b/>
      <sz val="11"/>
      <color theme="1"/>
      <name val="Arial"/>
      <family val="2"/>
    </font>
    <font>
      <b/>
      <sz val="11"/>
      <color rgb="FF00660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3" fontId="5" fillId="0" borderId="0" xfId="0" applyNumberFormat="1" applyFont="1"/>
    <xf numFmtId="0" fontId="8" fillId="0" borderId="2" xfId="0" applyFont="1" applyBorder="1"/>
    <xf numFmtId="164" fontId="8" fillId="0" borderId="2" xfId="0" applyNumberFormat="1" applyFont="1" applyBorder="1"/>
    <xf numFmtId="165" fontId="8" fillId="0" borderId="2" xfId="0" applyNumberFormat="1" applyFont="1" applyBorder="1"/>
    <xf numFmtId="167" fontId="7" fillId="0" borderId="0" xfId="0" applyNumberFormat="1" applyFont="1"/>
    <xf numFmtId="3" fontId="8" fillId="0" borderId="2" xfId="0" applyNumberFormat="1" applyFont="1" applyBorder="1"/>
    <xf numFmtId="167" fontId="8" fillId="0" borderId="2" xfId="0" applyNumberFormat="1" applyFont="1" applyBorder="1"/>
    <xf numFmtId="0" fontId="1" fillId="0" borderId="0" xfId="0" applyFont="1"/>
    <xf numFmtId="10" fontId="0" fillId="0" borderId="0" xfId="1" applyNumberFormat="1" applyFont="1"/>
    <xf numFmtId="165" fontId="10" fillId="0" borderId="0" xfId="0" applyNumberFormat="1" applyFont="1"/>
    <xf numFmtId="166" fontId="10" fillId="0" borderId="0" xfId="0" applyNumberFormat="1" applyFont="1"/>
    <xf numFmtId="10" fontId="8" fillId="0" borderId="2" xfId="1" applyNumberFormat="1" applyFont="1" applyBorder="1"/>
    <xf numFmtId="0" fontId="0" fillId="0" borderId="0" xfId="0" applyNumberFormat="1"/>
    <xf numFmtId="10" fontId="0" fillId="0" borderId="0" xfId="0" applyNumberFormat="1"/>
    <xf numFmtId="164" fontId="11" fillId="0" borderId="0" xfId="0" applyNumberFormat="1" applyFont="1"/>
    <xf numFmtId="165" fontId="11" fillId="0" borderId="0" xfId="0" applyNumberFormat="1" applyFont="1"/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/>
    <xf numFmtId="165" fontId="14" fillId="0" borderId="0" xfId="0" applyNumberFormat="1" applyFont="1"/>
    <xf numFmtId="164" fontId="14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169" fontId="2" fillId="0" borderId="0" xfId="0" applyNumberFormat="1" applyFont="1"/>
    <xf numFmtId="49" fontId="10" fillId="0" borderId="0" xfId="0" applyNumberFormat="1" applyFont="1"/>
    <xf numFmtId="10" fontId="14" fillId="0" borderId="0" xfId="1" applyNumberFormat="1" applyFont="1"/>
    <xf numFmtId="0" fontId="2" fillId="3" borderId="0" xfId="0" applyFont="1" applyFill="1"/>
    <xf numFmtId="165" fontId="2" fillId="3" borderId="0" xfId="0" applyNumberFormat="1" applyFont="1" applyFill="1"/>
    <xf numFmtId="165" fontId="14" fillId="3" borderId="0" xfId="0" applyNumberFormat="1" applyFont="1" applyFill="1"/>
    <xf numFmtId="164" fontId="14" fillId="3" borderId="0" xfId="0" applyNumberFormat="1" applyFont="1" applyFill="1"/>
    <xf numFmtId="166" fontId="15" fillId="0" borderId="2" xfId="0" applyNumberFormat="1" applyFont="1" applyBorder="1"/>
    <xf numFmtId="166" fontId="16" fillId="0" borderId="2" xfId="0" applyNumberFormat="1" applyFont="1" applyBorder="1"/>
    <xf numFmtId="165" fontId="16" fillId="0" borderId="2" xfId="0" applyNumberFormat="1" applyFont="1" applyBorder="1"/>
    <xf numFmtId="176" fontId="2" fillId="0" borderId="0" xfId="0" applyNumberFormat="1" applyFont="1"/>
    <xf numFmtId="167" fontId="7" fillId="3" borderId="0" xfId="0" applyNumberFormat="1" applyFont="1" applyFill="1"/>
    <xf numFmtId="166" fontId="2" fillId="0" borderId="0" xfId="0" applyNumberFormat="1" applyFont="1"/>
    <xf numFmtId="164" fontId="2" fillId="0" borderId="0" xfId="0" applyNumberFormat="1" applyFont="1"/>
    <xf numFmtId="0" fontId="17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00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147134</xdr:rowOff>
    </xdr:from>
    <xdr:to>
      <xdr:col>4</xdr:col>
      <xdr:colOff>162621</xdr:colOff>
      <xdr:row>3</xdr:row>
      <xdr:rowOff>42591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81F9FF-A9A6-EE8D-8939-FFB43DBD4B00}"/>
            </a:ext>
          </a:extLst>
        </xdr:cNvPr>
        <xdr:cNvSpPr txBox="1"/>
      </xdr:nvSpPr>
      <xdr:spPr>
        <a:xfrm>
          <a:off x="0" y="147134"/>
          <a:ext cx="3585426" cy="453018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Labor= Salary  + OT within</a:t>
          </a:r>
          <a:r>
            <a:rPr lang="en-US" sz="1100" baseline="0"/>
            <a:t> their respective columns </a:t>
          </a:r>
        </a:p>
        <a:p>
          <a:r>
            <a:rPr lang="en-US" sz="1100" baseline="0"/>
            <a:t>Postions were aggregated by location </a:t>
          </a:r>
          <a:endParaRPr lang="en-US" sz="1100"/>
        </a:p>
      </xdr:txBody>
    </xdr:sp>
    <xdr:clientData/>
  </xdr:twoCellAnchor>
  <xdr:twoCellAnchor>
    <xdr:from>
      <xdr:col>0</xdr:col>
      <xdr:colOff>135328</xdr:colOff>
      <xdr:row>23</xdr:row>
      <xdr:rowOff>20820</xdr:rowOff>
    </xdr:from>
    <xdr:to>
      <xdr:col>4</xdr:col>
      <xdr:colOff>88484</xdr:colOff>
      <xdr:row>34</xdr:row>
      <xdr:rowOff>10410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F9EEF5-60A6-9572-57C8-552A948AAA9F}"/>
            </a:ext>
          </a:extLst>
        </xdr:cNvPr>
        <xdr:cNvSpPr txBox="1"/>
      </xdr:nvSpPr>
      <xdr:spPr>
        <a:xfrm>
          <a:off x="135328" y="5199713"/>
          <a:ext cx="3560164" cy="2050738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Var % vs Plan :</a:t>
          </a:r>
          <a:endParaRPr lang="en-US"/>
        </a:p>
        <a:p>
          <a:r>
            <a:rPr lang="en-US"/>
            <a:t>Shows if we spent more or less than budgeted. Negative = under budget (good). </a:t>
          </a:r>
        </a:p>
        <a:p>
          <a:endParaRPr lang="en-US"/>
        </a:p>
        <a:p>
          <a:r>
            <a:rPr lang="en-US" b="1"/>
            <a:t>OT % of Salary</a:t>
          </a:r>
          <a:r>
            <a:rPr lang="en-US" b="1" baseline="0"/>
            <a:t> </a:t>
          </a:r>
          <a:r>
            <a:rPr lang="en-US" b="1"/>
            <a:t>:</a:t>
          </a:r>
          <a:endParaRPr lang="en-US"/>
        </a:p>
        <a:p>
          <a:r>
            <a:rPr lang="en-US"/>
            <a:t>Shows how much of pay is overtime vs. regular pay. Overtime costs more per hour, so a high/rising % means we're covering work by paying extra instead of staffing right.</a:t>
          </a:r>
        </a:p>
        <a:p>
          <a:endParaRPr lang="en-US"/>
        </a:p>
        <a:p>
          <a:r>
            <a:rPr lang="en-US"/>
            <a:t> Falling over time = getting more efficient.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45113</xdr:colOff>
      <xdr:row>13</xdr:row>
      <xdr:rowOff>73546</xdr:rowOff>
    </xdr:from>
    <xdr:to>
      <xdr:col>3</xdr:col>
      <xdr:colOff>66343</xdr:colOff>
      <xdr:row>19</xdr:row>
      <xdr:rowOff>118470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FBD53F-9327-9967-C340-BDE694ADA12F}"/>
            </a:ext>
          </a:extLst>
        </xdr:cNvPr>
        <xdr:cNvSpPr txBox="1"/>
      </xdr:nvSpPr>
      <xdr:spPr>
        <a:xfrm>
          <a:off x="45113" y="3234330"/>
          <a:ext cx="3039849" cy="1182237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$Labor/rental  means</a:t>
          </a:r>
          <a:r>
            <a:rPr lang="en-US"/>
            <a:t>: for every single car a location rents out, that location spends about $x in staff cost to make that rental happen. </a:t>
          </a:r>
        </a:p>
        <a:p>
          <a:r>
            <a:rPr lang="en-US" b="1"/>
            <a:t>-Lower number </a:t>
          </a:r>
          <a:r>
            <a:rPr lang="en-US"/>
            <a:t>= leaner staffing per rental. </a:t>
          </a:r>
        </a:p>
        <a:p>
          <a:r>
            <a:rPr lang="en-US"/>
            <a:t>-</a:t>
          </a:r>
          <a:r>
            <a:rPr lang="en-US" b="1"/>
            <a:t>Higher number </a:t>
          </a:r>
          <a:r>
            <a:rPr lang="en-US"/>
            <a:t>= more labor cost baked into each rental.</a:t>
          </a:r>
          <a:endParaRPr lang="en-US" sz="1100"/>
        </a:p>
      </xdr:txBody>
    </xdr:sp>
    <xdr:clientData/>
  </xdr:twoCellAnchor>
  <xdr:twoCellAnchor>
    <xdr:from>
      <xdr:col>0</xdr:col>
      <xdr:colOff>123209</xdr:colOff>
      <xdr:row>21</xdr:row>
      <xdr:rowOff>18956</xdr:rowOff>
    </xdr:from>
    <xdr:to>
      <xdr:col>2</xdr:col>
      <xdr:colOff>118470</xdr:colOff>
      <xdr:row>25</xdr:row>
      <xdr:rowOff>52127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5FCDFF3-09AF-5DBF-E7F6-9829CDD763A4}"/>
            </a:ext>
          </a:extLst>
        </xdr:cNvPr>
        <xdr:cNvSpPr txBox="1"/>
      </xdr:nvSpPr>
      <xdr:spPr>
        <a:xfrm>
          <a:off x="123209" y="4696157"/>
          <a:ext cx="2104030" cy="791380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NOTE:</a:t>
          </a:r>
          <a:r>
            <a:rPr lang="en-US" sz="1100" b="1" baseline="0"/>
            <a:t> </a:t>
          </a:r>
          <a:r>
            <a:rPr lang="en-US" sz="1100" baseline="0"/>
            <a:t>"Leaner" as in location is genuiney more efficient or has high volume and simple rentals etc</a:t>
          </a:r>
        </a:p>
        <a:p>
          <a:endParaRPr lang="en-US" sz="1100"/>
        </a:p>
      </xdr:txBody>
    </xdr:sp>
    <xdr:clientData/>
  </xdr:twoCellAnchor>
  <xdr:twoCellAnchor>
    <xdr:from>
      <xdr:col>4</xdr:col>
      <xdr:colOff>403602</xdr:colOff>
      <xdr:row>13</xdr:row>
      <xdr:rowOff>69957</xdr:rowOff>
    </xdr:from>
    <xdr:to>
      <xdr:col>8</xdr:col>
      <xdr:colOff>328262</xdr:colOff>
      <xdr:row>24</xdr:row>
      <xdr:rowOff>69957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9FC4AC4-2506-15EF-19A5-2E8E2F267133}"/>
            </a:ext>
          </a:extLst>
        </xdr:cNvPr>
        <xdr:cNvSpPr txBox="1"/>
      </xdr:nvSpPr>
      <xdr:spPr>
        <a:xfrm>
          <a:off x="4541865" y="3029703"/>
          <a:ext cx="3535550" cy="2071822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What this shows</a:t>
          </a:r>
          <a:r>
            <a:rPr lang="en-US"/>
            <a:t>: labor cost per rental transaction </a:t>
          </a:r>
        </a:p>
        <a:p>
          <a:r>
            <a:rPr lang="en-US"/>
            <a:t> 2025's real cost ÷ 2025's real rentals, compared to 2026's planned cost ÷ planned rentals. </a:t>
          </a:r>
        </a:p>
        <a:p>
          <a:endParaRPr lang="en-US"/>
        </a:p>
        <a:p>
          <a:r>
            <a:rPr lang="en-US" b="1"/>
            <a:t>Why it's here: </a:t>
          </a:r>
          <a:r>
            <a:rPr lang="en-US"/>
            <a:t>dollar variance alone can't tell you if a location just got busier (needs more staff) or is actually being wasteful. This ties labor cost to real business volume. </a:t>
          </a:r>
        </a:p>
        <a:p>
          <a:endParaRPr lang="en-US"/>
        </a:p>
        <a:p>
          <a:r>
            <a:rPr lang="en-US" b="1"/>
            <a:t>Caveat: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2026 actuals are YTD only. Using them would skew results. All comparisons are full-year.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95753</xdr:colOff>
      <xdr:row>0</xdr:row>
      <xdr:rowOff>166308</xdr:rowOff>
    </xdr:from>
    <xdr:to>
      <xdr:col>4</xdr:col>
      <xdr:colOff>367896</xdr:colOff>
      <xdr:row>6</xdr:row>
      <xdr:rowOff>105833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7C4894-746E-F4D9-50B3-2DD6FA947A65}"/>
            </a:ext>
          </a:extLst>
        </xdr:cNvPr>
        <xdr:cNvSpPr txBox="1"/>
      </xdr:nvSpPr>
      <xdr:spPr>
        <a:xfrm>
          <a:off x="95753" y="166308"/>
          <a:ext cx="4097262" cy="1058335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this shows: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8 biggest savers and 8 biggest spenders, out of 104 jobs.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Why it's here:</a:t>
          </a:r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Location totals hide problems. A location can have one good job and one bad job that cancel out, making it look fine when it's not.</a:t>
          </a:r>
        </a:p>
      </xdr:txBody>
    </xdr:sp>
    <xdr:clientData/>
  </xdr:twoCellAnchor>
  <xdr:twoCellAnchor>
    <xdr:from>
      <xdr:col>0</xdr:col>
      <xdr:colOff>162415</xdr:colOff>
      <xdr:row>31</xdr:row>
      <xdr:rowOff>26461</xdr:rowOff>
    </xdr:from>
    <xdr:to>
      <xdr:col>2</xdr:col>
      <xdr:colOff>636145</xdr:colOff>
      <xdr:row>51</xdr:row>
      <xdr:rowOff>143515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7D45B4-A09C-DC5C-C2FF-57784CA52168}"/>
            </a:ext>
          </a:extLst>
        </xdr:cNvPr>
        <xdr:cNvSpPr txBox="1"/>
      </xdr:nvSpPr>
      <xdr:spPr>
        <a:xfrm>
          <a:off x="162415" y="6578506"/>
          <a:ext cx="2328219" cy="3869327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Job "Position K" at Location 3 is the</a:t>
          </a:r>
          <a:r>
            <a:rPr lang="en-US" sz="1100" baseline="0"/>
            <a:t> biggest</a:t>
          </a:r>
          <a:r>
            <a:rPr lang="en-US" sz="1100"/>
            <a:t> problem.</a:t>
          </a:r>
        </a:p>
        <a:p>
          <a:endParaRPr lang="en-US" sz="1100" b="1"/>
        </a:p>
        <a:p>
          <a:r>
            <a:rPr lang="en-US" sz="1100" b="1"/>
            <a:t>From</a:t>
          </a:r>
          <a:r>
            <a:rPr lang="en-US" sz="1100" b="1" baseline="0"/>
            <a:t> Raw Data:</a:t>
          </a:r>
          <a:endParaRPr lang="en-US" sz="1100" b="1"/>
        </a:p>
        <a:p>
          <a:r>
            <a:rPr lang="en-US" sz="1100"/>
            <a:t>- Planned: 337 people</a:t>
          </a:r>
        </a:p>
        <a:p>
          <a:r>
            <a:rPr lang="en-US" sz="1100"/>
            <a:t>- Actual: 462 people</a:t>
          </a:r>
        </a:p>
        <a:p>
          <a:r>
            <a:rPr lang="en-US" sz="1100"/>
            <a:t>- That's 125 extra people (37% overstaffed)</a:t>
          </a:r>
        </a:p>
        <a:p>
          <a:r>
            <a:rPr lang="en-US" sz="1100"/>
            <a:t>- Cost: $416,782 over budget</a:t>
          </a:r>
        </a:p>
        <a:p>
          <a:endParaRPr lang="en-US" sz="1100"/>
        </a:p>
        <a:p>
          <a:r>
            <a:rPr lang="en-US" sz="1100" b="1"/>
            <a:t>Why it matters most:</a:t>
          </a:r>
        </a:p>
        <a:p>
          <a:r>
            <a:rPr lang="en-US" sz="1100"/>
            <a:t>This one job causes 26% of ALL company overspending. Too many people.</a:t>
          </a:r>
        </a:p>
        <a:p>
          <a:endParaRPr lang="en-US" sz="1100"/>
        </a:p>
        <a:p>
          <a:r>
            <a:rPr lang="en-US" sz="1100" b="1"/>
            <a:t>Why Location 3 in</a:t>
          </a:r>
          <a:r>
            <a:rPr lang="en-US" sz="1100" b="1" baseline="0"/>
            <a:t> total l</a:t>
          </a:r>
          <a:r>
            <a:rPr lang="en-US" sz="1100" b="1"/>
            <a:t>ooked fine:</a:t>
          </a:r>
        </a:p>
        <a:p>
          <a:r>
            <a:rPr lang="en-US" sz="1100"/>
            <a:t>Another job at that location (Position B) saved $262K, so they canceled each other out. If you only looked at the location total, you'd miss this completely.</a:t>
          </a: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venitzz\Downloads\Workforce_Variance_Model.xlsx" TargetMode="External"/><Relationship Id="rId1" Type="http://schemas.openxmlformats.org/officeDocument/2006/relationships/externalLinkPath" Target="Workforce_Variance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Raw - Workforce"/>
      <sheetName val="Raw - Transactions"/>
      <sheetName val="Variance Analysis"/>
      <sheetName val="Location Summary"/>
      <sheetName val="Efficiency Metrics"/>
      <sheetName val="Top Movers"/>
    </sheetNames>
    <sheetDataSet>
      <sheetData sheetId="0" refreshError="1"/>
      <sheetData sheetId="1" refreshError="1"/>
      <sheetData sheetId="2" refreshError="1"/>
      <sheetData sheetId="3">
        <row r="6">
          <cell r="A6" t="str">
            <v>Location 1</v>
          </cell>
          <cell r="B6" t="str">
            <v>Position E</v>
          </cell>
          <cell r="C6">
            <v>116986.90483814009</v>
          </cell>
          <cell r="E6">
            <v>248284.51384852748</v>
          </cell>
          <cell r="G6">
            <v>-131297.60901038739</v>
          </cell>
          <cell r="J6">
            <v>-24.456722415028196</v>
          </cell>
        </row>
        <row r="22">
          <cell r="A22" t="str">
            <v>Location 1</v>
          </cell>
          <cell r="B22" t="str">
            <v>Position U</v>
          </cell>
          <cell r="C22">
            <v>188589.42466745284</v>
          </cell>
          <cell r="E22">
            <v>301888.71782757802</v>
          </cell>
          <cell r="G22">
            <v>-113299.29316012518</v>
          </cell>
          <cell r="J22">
            <v>1</v>
          </cell>
        </row>
        <row r="25">
          <cell r="A25" t="str">
            <v>Location 1</v>
          </cell>
          <cell r="B25" t="str">
            <v>Position X</v>
          </cell>
          <cell r="C25">
            <v>1180430.1025481287</v>
          </cell>
          <cell r="E25">
            <v>891350.77962315397</v>
          </cell>
          <cell r="G25">
            <v>289079.32292497472</v>
          </cell>
          <cell r="J25">
            <v>2</v>
          </cell>
        </row>
        <row r="29">
          <cell r="A29" t="str">
            <v>Location 2</v>
          </cell>
          <cell r="B29" t="str">
            <v>Position B</v>
          </cell>
          <cell r="C29">
            <v>1314928.6497015022</v>
          </cell>
          <cell r="E29">
            <v>1507894.063452312</v>
          </cell>
          <cell r="G29">
            <v>-192965.41375080985</v>
          </cell>
          <cell r="J29">
            <v>-65.990000000000066</v>
          </cell>
        </row>
        <row r="48">
          <cell r="A48" t="str">
            <v>Location 2</v>
          </cell>
          <cell r="B48" t="str">
            <v>Position U</v>
          </cell>
          <cell r="C48">
            <v>202357.82671875</v>
          </cell>
          <cell r="E48">
            <v>161886.261375</v>
          </cell>
          <cell r="G48">
            <v>40471.56534375</v>
          </cell>
          <cell r="J48">
            <v>3.5</v>
          </cell>
        </row>
        <row r="51">
          <cell r="A51" t="str">
            <v>Location 2</v>
          </cell>
          <cell r="B51" t="str">
            <v>Position X</v>
          </cell>
          <cell r="C51">
            <v>743584.25230562501</v>
          </cell>
          <cell r="E51">
            <v>647008.197429316</v>
          </cell>
          <cell r="G51">
            <v>96576.054876309005</v>
          </cell>
          <cell r="J51">
            <v>18.799999999999997</v>
          </cell>
        </row>
        <row r="54">
          <cell r="A54" t="str">
            <v>Location 3</v>
          </cell>
          <cell r="B54" t="str">
            <v>Position A</v>
          </cell>
          <cell r="C54">
            <v>889662.45800380257</v>
          </cell>
          <cell r="E54">
            <v>1055190.2680214441</v>
          </cell>
          <cell r="G54">
            <v>-165527.81001764152</v>
          </cell>
          <cell r="J54">
            <v>-53.576846310172016</v>
          </cell>
        </row>
        <row r="55">
          <cell r="A55" t="str">
            <v>Location 3</v>
          </cell>
          <cell r="B55" t="str">
            <v>Position B</v>
          </cell>
          <cell r="C55">
            <v>1445020.5108672231</v>
          </cell>
          <cell r="E55">
            <v>1706992.867807284</v>
          </cell>
          <cell r="G55">
            <v>-261972.35694006085</v>
          </cell>
          <cell r="J55">
            <v>-82.074350749302994</v>
          </cell>
        </row>
        <row r="61">
          <cell r="A61" t="str">
            <v>Location 3</v>
          </cell>
          <cell r="B61" t="str">
            <v>Position H</v>
          </cell>
          <cell r="C61">
            <v>1252895.0012335959</v>
          </cell>
          <cell r="E61">
            <v>1457336.4212250921</v>
          </cell>
          <cell r="G61">
            <v>-204441.41999149625</v>
          </cell>
          <cell r="J61">
            <v>-43.62662810838998</v>
          </cell>
        </row>
        <row r="62">
          <cell r="A62" t="str">
            <v>Location 3</v>
          </cell>
          <cell r="B62" t="str">
            <v>Position I</v>
          </cell>
          <cell r="C62">
            <v>634823.00543946284</v>
          </cell>
          <cell r="E62">
            <v>589056.97007229237</v>
          </cell>
          <cell r="G62">
            <v>45766.035367170465</v>
          </cell>
          <cell r="J62">
            <v>-11.780000000000001</v>
          </cell>
        </row>
        <row r="64">
          <cell r="A64" t="str">
            <v>Location 3</v>
          </cell>
          <cell r="B64" t="str">
            <v>Position K</v>
          </cell>
          <cell r="C64">
            <v>1274716.9754377371</v>
          </cell>
          <cell r="E64">
            <v>857934.79620085517</v>
          </cell>
          <cell r="G64">
            <v>416782.1792368819</v>
          </cell>
          <cell r="J64">
            <v>124.79767416019098</v>
          </cell>
        </row>
        <row r="65">
          <cell r="A65" t="str">
            <v>Location 3</v>
          </cell>
          <cell r="B65" t="str">
            <v>Position L</v>
          </cell>
          <cell r="C65">
            <v>356485.12788105011</v>
          </cell>
          <cell r="E65">
            <v>164226.05489931488</v>
          </cell>
          <cell r="G65">
            <v>192259.07298173523</v>
          </cell>
          <cell r="J65">
            <v>42.600261222830994</v>
          </cell>
        </row>
        <row r="80">
          <cell r="A80" t="str">
            <v>Location 4</v>
          </cell>
          <cell r="B80" t="str">
            <v>Position A</v>
          </cell>
          <cell r="C80">
            <v>1560596.1132219399</v>
          </cell>
          <cell r="E80">
            <v>1735596.1132219399</v>
          </cell>
          <cell r="G80">
            <v>-175000</v>
          </cell>
          <cell r="J80">
            <v>-60</v>
          </cell>
        </row>
        <row r="81">
          <cell r="A81" t="str">
            <v>Location 4</v>
          </cell>
          <cell r="B81" t="str">
            <v>Position B</v>
          </cell>
          <cell r="C81">
            <v>2467569.9226734596</v>
          </cell>
          <cell r="E81">
            <v>2613599.0821734597</v>
          </cell>
          <cell r="G81">
            <v>-146029.15950000007</v>
          </cell>
          <cell r="J81">
            <v>-62.900000000000091</v>
          </cell>
        </row>
        <row r="94">
          <cell r="A94" t="str">
            <v>Location 4</v>
          </cell>
          <cell r="B94" t="str">
            <v>Position O</v>
          </cell>
          <cell r="C94">
            <v>314685.07356640499</v>
          </cell>
          <cell r="E94">
            <v>273965.39851307997</v>
          </cell>
          <cell r="G94">
            <v>40719.675053325016</v>
          </cell>
          <cell r="J94">
            <v>4.1944833333333023</v>
          </cell>
        </row>
        <row r="99">
          <cell r="A99" t="str">
            <v>Location 4</v>
          </cell>
          <cell r="B99" t="str">
            <v>Position T</v>
          </cell>
          <cell r="C99">
            <v>2256338.0474111</v>
          </cell>
          <cell r="E99">
            <v>2215244.20339143</v>
          </cell>
          <cell r="G99">
            <v>41093.844019670039</v>
          </cell>
          <cell r="J99">
            <v>2.5703166666669972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zoomScale="55" zoomScaleNormal="100" workbookViewId="0">
      <selection activeCell="H14" sqref="H14"/>
    </sheetView>
  </sheetViews>
  <sheetFormatPr defaultColWidth="8.6796875" defaultRowHeight="14.75" x14ac:dyDescent="0.75"/>
  <cols>
    <col min="1" max="1" width="22" customWidth="1"/>
    <col min="2" max="2" width="100" customWidth="1"/>
  </cols>
  <sheetData>
    <row r="1" spans="1:4" ht="18" x14ac:dyDescent="0.8">
      <c r="A1" s="16" t="s">
        <v>0</v>
      </c>
      <c r="B1" s="16"/>
      <c r="C1" s="16"/>
      <c r="D1" s="16"/>
    </row>
    <row r="3" spans="1:4" ht="15" customHeight="1" x14ac:dyDescent="0.75">
      <c r="A3" s="2"/>
      <c r="B3" s="3"/>
    </row>
    <row r="4" spans="1:4" ht="15" customHeight="1" x14ac:dyDescent="0.75">
      <c r="A4" s="1" t="s">
        <v>1</v>
      </c>
      <c r="B4" s="3" t="s">
        <v>103</v>
      </c>
    </row>
    <row r="5" spans="1:4" ht="15" customHeight="1" x14ac:dyDescent="0.75">
      <c r="A5" s="1" t="s">
        <v>2</v>
      </c>
      <c r="B5" s="3"/>
    </row>
    <row r="6" spans="1:4" ht="15" customHeight="1" x14ac:dyDescent="0.75">
      <c r="A6" s="2" t="s">
        <v>3</v>
      </c>
      <c r="B6" s="3" t="s">
        <v>4</v>
      </c>
    </row>
    <row r="7" spans="1:4" ht="15" customHeight="1" x14ac:dyDescent="0.75">
      <c r="A7" s="2" t="s">
        <v>5</v>
      </c>
      <c r="B7" s="3" t="s">
        <v>6</v>
      </c>
    </row>
    <row r="8" spans="1:4" ht="15" customHeight="1" x14ac:dyDescent="0.75">
      <c r="A8" s="2" t="s">
        <v>7</v>
      </c>
      <c r="B8" s="3" t="s">
        <v>8</v>
      </c>
    </row>
    <row r="9" spans="1:4" ht="15" customHeight="1" x14ac:dyDescent="0.75">
      <c r="A9" s="2" t="s">
        <v>9</v>
      </c>
      <c r="B9" s="3" t="s">
        <v>10</v>
      </c>
    </row>
    <row r="10" spans="1:4" ht="15" customHeight="1" x14ac:dyDescent="0.75">
      <c r="A10" s="2"/>
      <c r="B10" s="3"/>
    </row>
    <row r="11" spans="1:4" ht="15" customHeight="1" x14ac:dyDescent="0.75">
      <c r="A11" s="1" t="s">
        <v>11</v>
      </c>
      <c r="B11" s="3"/>
    </row>
    <row r="12" spans="1:4" ht="15" customHeight="1" x14ac:dyDescent="0.75">
      <c r="A12" s="2" t="s">
        <v>12</v>
      </c>
      <c r="B12" s="3" t="s">
        <v>13</v>
      </c>
    </row>
    <row r="13" spans="1:4" ht="15" customHeight="1" x14ac:dyDescent="0.75">
      <c r="A13" s="2" t="s">
        <v>14</v>
      </c>
      <c r="B13" s="3" t="s">
        <v>101</v>
      </c>
    </row>
    <row r="14" spans="1:4" ht="15" customHeight="1" x14ac:dyDescent="0.75">
      <c r="A14" s="2"/>
      <c r="B14" s="3"/>
    </row>
    <row r="15" spans="1:4" ht="15" customHeight="1" x14ac:dyDescent="0.75">
      <c r="A15" s="1" t="s">
        <v>15</v>
      </c>
      <c r="B15" s="3"/>
    </row>
    <row r="16" spans="1:4" ht="15" customHeight="1" x14ac:dyDescent="0.75">
      <c r="A16" s="2" t="s">
        <v>16</v>
      </c>
      <c r="B16" s="3" t="s">
        <v>17</v>
      </c>
    </row>
    <row r="17" spans="1:2" ht="15" customHeight="1" x14ac:dyDescent="0.75">
      <c r="A17" s="2" t="s">
        <v>18</v>
      </c>
      <c r="B17" s="3" t="s">
        <v>19</v>
      </c>
    </row>
    <row r="18" spans="1:2" ht="15" customHeight="1" x14ac:dyDescent="0.75">
      <c r="A18" s="2"/>
      <c r="B18" s="3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I20"/>
  <sheetViews>
    <sheetView topLeftCell="A12" zoomScale="61" zoomScaleNormal="100" workbookViewId="0">
      <selection activeCell="H14" sqref="H14"/>
    </sheetView>
  </sheetViews>
  <sheetFormatPr defaultColWidth="8.6796875" defaultRowHeight="14.75" x14ac:dyDescent="0.75"/>
  <cols>
    <col min="1" max="1" width="16" customWidth="1"/>
    <col min="2" max="2" width="12.6328125" customWidth="1"/>
    <col min="3" max="3" width="10" customWidth="1"/>
    <col min="4" max="7" width="13" customWidth="1"/>
    <col min="8" max="8" width="12" customWidth="1"/>
    <col min="9" max="9" width="13" customWidth="1"/>
    <col min="10" max="10" width="12" customWidth="1"/>
    <col min="11" max="11" width="11" customWidth="1"/>
    <col min="12" max="12" width="12" customWidth="1"/>
  </cols>
  <sheetData>
    <row r="5" spans="1:9" ht="39.75" customHeight="1" x14ac:dyDescent="0.75">
      <c r="A5" s="4" t="s">
        <v>20</v>
      </c>
      <c r="B5" s="4" t="s">
        <v>95</v>
      </c>
      <c r="C5" s="4" t="s">
        <v>24</v>
      </c>
      <c r="D5" s="4" t="s">
        <v>96</v>
      </c>
      <c r="E5" s="4" t="s">
        <v>71</v>
      </c>
      <c r="F5" s="4" t="s">
        <v>97</v>
      </c>
    </row>
    <row r="6" spans="1:9" x14ac:dyDescent="0.75">
      <c r="A6" s="5" t="s">
        <v>34</v>
      </c>
      <c r="B6" s="31">
        <f>SUMIF('Raw - Workforce'!$A$2:$A$105,A6,'Raw - Workforce'!$C$2:$C$105)</f>
        <v>2271.6521967415929</v>
      </c>
      <c r="C6" s="31">
        <f>SUMIF('Raw - Workforce'!$A$2:$A$105,A6,'Raw - Workforce'!$E$2:$E$105)</f>
        <v>2417.927817381451</v>
      </c>
      <c r="D6" s="29">
        <f>SUMIF('Variance Analysis'!$A$2:$A$105,A6,'Variance Analysis'!$C$2:$C$105)</f>
        <v>9574757.3340248056</v>
      </c>
      <c r="E6" s="29">
        <f>SUMIF('Variance Analysis'!$A$2:$A$105,A6,'Variance Analysis'!$E$2:$E$105)</f>
        <v>9859466.5645550601</v>
      </c>
      <c r="F6" s="29">
        <f>SUMIF('Variance Analysis'!$A$2:$A$105,A6,'Variance Analysis'!$D$2:$D$105)</f>
        <v>9656878.6786304694</v>
      </c>
    </row>
    <row r="7" spans="1:9" x14ac:dyDescent="0.75">
      <c r="A7" s="5" t="s">
        <v>61</v>
      </c>
      <c r="B7" s="31">
        <f>SUMIF('Raw - Workforce'!$A$2:$A$105,A7,'Raw - Workforce'!$C$2:$C$105)</f>
        <v>2379.9879836084779</v>
      </c>
      <c r="C7" s="31">
        <f>SUMIF('Raw - Workforce'!$A$2:$A$105,A7,'Raw - Workforce'!$E$2:$E$105)</f>
        <v>2526.5350500000004</v>
      </c>
      <c r="D7" s="29">
        <f>SUMIF('Variance Analysis'!$A$2:$A$105,A7,'Variance Analysis'!$C$2:$C$105)</f>
        <v>8196137.9427020987</v>
      </c>
      <c r="E7" s="29">
        <f>SUMIF('Variance Analysis'!$A$2:$A$105,A7,'Variance Analysis'!$E$2:$E$105)</f>
        <v>8419827.4513122458</v>
      </c>
      <c r="F7" s="29">
        <f>SUMIF('Variance Analysis'!$A$2:$A$105,A7,'Variance Analysis'!$D$2:$D$105)</f>
        <v>8046167.4665207462</v>
      </c>
    </row>
    <row r="8" spans="1:9" x14ac:dyDescent="0.75">
      <c r="A8" s="5" t="s">
        <v>62</v>
      </c>
      <c r="B8" s="31">
        <f>SUMIF('Raw - Workforce'!$A$2:$A$105,A8,'Raw - Workforce'!$C$2:$C$105)</f>
        <v>2804.4606000000003</v>
      </c>
      <c r="C8" s="31">
        <f>SUMIF('Raw - Workforce'!$A$2:$A$105,A8,'Raw - Workforce'!$E$2:$E$105)</f>
        <v>2817.3300957500528</v>
      </c>
      <c r="D8" s="29">
        <f>SUMIF('Variance Analysis'!$A$2:$A$105,A8,'Variance Analysis'!$C$2:$C$105)</f>
        <v>10714421.613449804</v>
      </c>
      <c r="E8" s="29">
        <f>SUMIF('Variance Analysis'!$A$2:$A$105,A8,'Variance Analysis'!$E$2:$E$105)</f>
        <v>10741859.368301239</v>
      </c>
      <c r="F8" s="29">
        <f>SUMIF('Variance Analysis'!$A$2:$A$105,A8,'Variance Analysis'!$D$2:$D$105)</f>
        <v>10493876.287790047</v>
      </c>
      <c r="I8" s="21"/>
    </row>
    <row r="9" spans="1:9" x14ac:dyDescent="0.75">
      <c r="A9" s="5" t="s">
        <v>63</v>
      </c>
      <c r="B9" s="31">
        <f>SUMIF('Raw - Workforce'!$A$2:$A$105,A9,'Raw - Workforce'!$C$2:$C$105)</f>
        <v>3252.2659888492067</v>
      </c>
      <c r="C9" s="31">
        <f>SUMIF('Raw - Workforce'!$A$2:$A$105,A9,'Raw - Workforce'!$E$2:$E$105)</f>
        <v>3455.8253555158722</v>
      </c>
      <c r="D9" s="29">
        <f>SUMIF('Variance Analysis'!$A$2:$A$105,A9,'Variance Analysis'!$C$2:$C$105)</f>
        <v>15038964.67598236</v>
      </c>
      <c r="E9" s="29">
        <f>SUMIF('Variance Analysis'!$A$2:$A$105,A9,'Variance Analysis'!$E$2:$E$105)</f>
        <v>15368664.316943027</v>
      </c>
      <c r="F9" s="29">
        <f>SUMIF('Variance Analysis'!$A$2:$A$105,A9,'Variance Analysis'!$D$2:$D$105)</f>
        <v>15035566.215980597</v>
      </c>
    </row>
    <row r="10" spans="1:9" x14ac:dyDescent="0.75">
      <c r="A10" s="10" t="s">
        <v>80</v>
      </c>
      <c r="B10" s="11">
        <f t="shared" ref="B10:F10" si="0">SUM(B6:B9)</f>
        <v>10708.366769199278</v>
      </c>
      <c r="C10" s="11">
        <f t="shared" si="0"/>
        <v>11217.618318647375</v>
      </c>
      <c r="D10" s="12">
        <f t="shared" si="0"/>
        <v>43524281.56615907</v>
      </c>
      <c r="E10" s="12">
        <f t="shared" si="0"/>
        <v>44389817.70111157</v>
      </c>
      <c r="F10" s="12">
        <f t="shared" si="0"/>
        <v>43232488.648921862</v>
      </c>
    </row>
    <row r="15" spans="1:9" ht="58" x14ac:dyDescent="0.75">
      <c r="A15" s="4" t="s">
        <v>20</v>
      </c>
      <c r="B15" s="4" t="s">
        <v>78</v>
      </c>
      <c r="C15" s="4" t="s">
        <v>79</v>
      </c>
      <c r="D15" s="4" t="s">
        <v>98</v>
      </c>
      <c r="E15" s="4" t="s">
        <v>99</v>
      </c>
      <c r="F15" s="4" t="s">
        <v>90</v>
      </c>
      <c r="G15" s="4" t="s">
        <v>91</v>
      </c>
      <c r="H15" s="4" t="s">
        <v>100</v>
      </c>
    </row>
    <row r="16" spans="1:9" x14ac:dyDescent="0.75">
      <c r="A16" s="5" t="s">
        <v>34</v>
      </c>
      <c r="B16" s="18">
        <f>D6-E6</f>
        <v>-284709.23053025454</v>
      </c>
      <c r="C16" s="19">
        <f>IFERROR(B16/E6,0)</f>
        <v>-2.8876737769342287E-2</v>
      </c>
      <c r="D16" s="18">
        <f>D6-F6</f>
        <v>-82121.344605663791</v>
      </c>
      <c r="E16" s="32" t="s">
        <v>92</v>
      </c>
      <c r="F16" s="41">
        <f>IFERROR(SUMIF('Raw - Workforce'!$A$2:$A$105,A6,'Raw - Workforce'!$N$2:$N$105)/SUMIF('Raw - Workforce'!$A$2:$A$105,A6,'Raw - Workforce'!$J$2:$J$105),0)</f>
        <v>0.16532266448429256</v>
      </c>
      <c r="G16" s="41">
        <f>IFERROR(SUMIF('Raw - Workforce'!$A$2:$A$105,A6,'Raw - Workforce'!$M$2:$M$105)/SUMIF('Raw - Workforce'!$A$2:$A$105,A6,'Raw - Workforce'!$I$2:$I$105),0)</f>
        <v>0.14917003300600029</v>
      </c>
      <c r="H16" s="41">
        <f>IFERROR(SUMIF('Raw - Workforce'!$A$2:$A$105,A6,'Raw - Workforce'!$K$2:$K$105)/SUMIF('Raw - Workforce'!$A$2:$A$105,A6,'Raw - Workforce'!$G$2:$G$105),0)</f>
        <v>0.12452455881632281</v>
      </c>
    </row>
    <row r="17" spans="1:8" x14ac:dyDescent="0.75">
      <c r="A17" s="5" t="s">
        <v>61</v>
      </c>
      <c r="B17" s="18">
        <f>D7-E7</f>
        <v>-223689.50861014705</v>
      </c>
      <c r="C17" s="19">
        <f>IFERROR(B17/E7,0)</f>
        <v>-2.656699438363011E-2</v>
      </c>
      <c r="D17" s="27">
        <f>D7-F7</f>
        <v>149970.47618135251</v>
      </c>
      <c r="E17" s="33">
        <f>D17/F7</f>
        <v>1.8638746559199001E-2</v>
      </c>
      <c r="F17" s="41">
        <f>IFERROR(SUMIF('Raw - Workforce'!$A$2:$A$105,A7,'Raw - Workforce'!$N$2:$N$105)/SUMIF('Raw - Workforce'!$A$2:$A$105,A7,'Raw - Workforce'!$J$2:$J$105),0)</f>
        <v>0.10011763569802655</v>
      </c>
      <c r="G17" s="41">
        <f>IFERROR(SUMIF('Raw - Workforce'!$A$2:$A$105,A7,'Raw - Workforce'!$M$2:$M$105)/SUMIF('Raw - Workforce'!$A$2:$A$105,A7,'Raw - Workforce'!$I$2:$I$105),0)</f>
        <v>7.8056722650518523E-2</v>
      </c>
      <c r="H17" s="41">
        <f>IFERROR(SUMIF('Raw - Workforce'!$A$2:$A$105,A7,'Raw - Workforce'!$K$2:$K$105)/SUMIF('Raw - Workforce'!$A$2:$A$105,A7,'Raw - Workforce'!$G$2:$G$105),0)</f>
        <v>7.756478244980558E-2</v>
      </c>
    </row>
    <row r="18" spans="1:8" x14ac:dyDescent="0.75">
      <c r="A18" s="5" t="s">
        <v>62</v>
      </c>
      <c r="B18" s="18">
        <f>D8-E8</f>
        <v>-27437.75485143438</v>
      </c>
      <c r="C18" s="19">
        <f>IFERROR(B18/E8,0)</f>
        <v>-2.5542835658789206E-3</v>
      </c>
      <c r="D18" s="27">
        <f>D8-F8</f>
        <v>220545.32565975748</v>
      </c>
      <c r="E18" s="33">
        <f>D18/F8</f>
        <v>2.1016573819949532E-2</v>
      </c>
      <c r="F18" s="41">
        <f>IFERROR(SUMIF('Raw - Workforce'!$A$2:$A$105,A8,'Raw - Workforce'!$N$2:$N$105)/SUMIF('Raw - Workforce'!$A$2:$A$105,A8,'Raw - Workforce'!$J$2:$J$105),0)</f>
        <v>0.11472844919725651</v>
      </c>
      <c r="G18" s="41">
        <f>IFERROR(SUMIF('Raw - Workforce'!$A$2:$A$105,A8,'Raw - Workforce'!$M$2:$M$105)/SUMIF('Raw - Workforce'!$A$2:$A$105,A8,'Raw - Workforce'!$I$2:$I$105),0)</f>
        <v>9.0821840737423859E-2</v>
      </c>
      <c r="H18" s="41">
        <f>IFERROR(SUMIF('Raw - Workforce'!$A$2:$A$105,A8,'Raw - Workforce'!$K$2:$K$105)/SUMIF('Raw - Workforce'!$A$2:$A$105,A8,'Raw - Workforce'!$G$2:$G$105),0)</f>
        <v>8.5183001520095752E-2</v>
      </c>
    </row>
    <row r="19" spans="1:8" x14ac:dyDescent="0.75">
      <c r="A19" s="5" t="s">
        <v>63</v>
      </c>
      <c r="B19" s="18">
        <f>D9-E9</f>
        <v>-329699.64096066728</v>
      </c>
      <c r="C19" s="19">
        <f>IFERROR(B19/E9,0)</f>
        <v>-2.1452719257924923E-2</v>
      </c>
      <c r="D19" s="27">
        <f>D9-F9</f>
        <v>3398.4600017629564</v>
      </c>
      <c r="E19" s="33">
        <f>D19/F9</f>
        <v>2.2602806924230714E-4</v>
      </c>
      <c r="F19" s="41">
        <f>IFERROR(SUMIF('Raw - Workforce'!$A$2:$A$105,A9,'Raw - Workforce'!$N$2:$N$105)/SUMIF('Raw - Workforce'!$A$2:$A$105,A9,'Raw - Workforce'!$J$2:$J$105),0)</f>
        <v>0.10584733250785937</v>
      </c>
      <c r="G19" s="41">
        <f>IFERROR(SUMIF('Raw - Workforce'!$A$2:$A$105,A9,'Raw - Workforce'!$M$2:$M$105)/SUMIF('Raw - Workforce'!$A$2:$A$105,A9,'Raw - Workforce'!$I$2:$I$105),0)</f>
        <v>9.4684516200516211E-2</v>
      </c>
      <c r="H19" s="41">
        <f>IFERROR(SUMIF('Raw - Workforce'!$A$2:$A$105,A9,'Raw - Workforce'!$K$2:$K$105)/SUMIF('Raw - Workforce'!$A$2:$A$105,A9,'Raw - Workforce'!$G$2:$G$105),0)</f>
        <v>8.6024098543093439E-2</v>
      </c>
    </row>
    <row r="20" spans="1:8" x14ac:dyDescent="0.75">
      <c r="A20" s="10" t="s">
        <v>80</v>
      </c>
      <c r="B20" s="40">
        <f>SUM(B16:B19)</f>
        <v>-865536.13495250326</v>
      </c>
      <c r="C20" s="39">
        <f>IFERROR(B20/E10,0)</f>
        <v>-1.949852871170564E-2</v>
      </c>
      <c r="D20" s="12">
        <f>SUM(D16:D19)</f>
        <v>291792.91723720916</v>
      </c>
      <c r="E20" s="20">
        <f>IFERROR(D20/F10,0)</f>
        <v>6.7493897843071762E-3</v>
      </c>
      <c r="F20" s="38">
        <f>SUM('Raw - Workforce'!$N$2:$N$105)/SUM('Raw - Workforce'!$J$2:$J$105)</f>
        <v>0.11935619428931438</v>
      </c>
      <c r="G20" s="38">
        <f>SUM('Raw - Workforce'!$M$2:$M$105)/SUM('Raw - Workforce'!$I$2:$I$105)</f>
        <v>0.10212212812759147</v>
      </c>
      <c r="H20" s="38">
        <f>SUM('Raw - Workforce'!$K$2:$K$105)/SUM('Raw - Workforce'!$G$2:$G$105)</f>
        <v>9.2428545890400948E-2</v>
      </c>
    </row>
  </sheetData>
  <pageMargins left="0.75" right="0.75" top="1" bottom="1" header="0.511811023622047" footer="0.511811023622047"/>
  <pageSetup paperSize="9" orientation="portrait" horizontalDpi="300" verticalDpi="300"/>
  <ignoredErrors>
    <ignoredError sqref="E16:E19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17"/>
  <sheetViews>
    <sheetView zoomScale="59" zoomScaleNormal="100" workbookViewId="0">
      <selection activeCell="J19" sqref="J19"/>
    </sheetView>
  </sheetViews>
  <sheetFormatPr defaultColWidth="8.6796875" defaultRowHeight="14.75" x14ac:dyDescent="0.75"/>
  <cols>
    <col min="1" max="1" width="16.1796875" customWidth="1"/>
    <col min="2" max="2" width="14" customWidth="1"/>
    <col min="3" max="3" width="13" customWidth="1"/>
    <col min="4" max="4" width="16" customWidth="1"/>
    <col min="5" max="5" width="14" customWidth="1"/>
    <col min="6" max="6" width="13" customWidth="1"/>
    <col min="7" max="7" width="15.90625" customWidth="1"/>
  </cols>
  <sheetData>
    <row r="2" spans="1:7" x14ac:dyDescent="0.75">
      <c r="A2" s="45" t="s">
        <v>102</v>
      </c>
    </row>
    <row r="5" spans="1:7" ht="55" customHeight="1" x14ac:dyDescent="0.75">
      <c r="A5" s="4" t="s">
        <v>20</v>
      </c>
      <c r="B5" s="4" t="s">
        <v>72</v>
      </c>
      <c r="C5" s="4" t="s">
        <v>86</v>
      </c>
      <c r="D5" s="4" t="s">
        <v>88</v>
      </c>
      <c r="E5" s="4" t="s">
        <v>81</v>
      </c>
      <c r="F5" s="4" t="s">
        <v>87</v>
      </c>
      <c r="G5" s="4" t="s">
        <v>89</v>
      </c>
    </row>
    <row r="6" spans="1:7" x14ac:dyDescent="0.75">
      <c r="A6" s="2" t="str">
        <f>'Location Summary'!A6</f>
        <v>Location 1</v>
      </c>
      <c r="B6" s="29">
        <f>SUMIF('Variance Analysis'!$A$2:$A$105,A6,'Variance Analysis'!$F$2:$F$105)</f>
        <v>9144531.0599999987</v>
      </c>
      <c r="C6" s="30">
        <f>INDEX('Raw - Transactions'!$E$2:$E$5,MATCH(A6,'Raw - Transactions'!$A$2:$A$5,0))</f>
        <v>402999</v>
      </c>
      <c r="D6" s="13">
        <f>IFERROR(B6/C6,0)</f>
        <v>22.69120037518703</v>
      </c>
      <c r="E6" s="29">
        <f>'Location Summary'!E6</f>
        <v>9859466.5645550601</v>
      </c>
      <c r="F6" s="30">
        <f>INDEX('Raw - Transactions'!$D$2:$D$5,MATCH(A6,'Raw - Transactions'!$A$2:$A$5,0))</f>
        <v>425982.46569721901</v>
      </c>
      <c r="G6" s="13">
        <f>IFERROR(E6/F6,0)</f>
        <v>23.145240376074536</v>
      </c>
    </row>
    <row r="7" spans="1:7" x14ac:dyDescent="0.75">
      <c r="A7" s="2" t="str">
        <f>'Location Summary'!A7</f>
        <v>Location 2</v>
      </c>
      <c r="B7" s="29">
        <f>SUMIF('Variance Analysis'!$A$2:$A$105,A7,'Variance Analysis'!$F$2:$F$105)</f>
        <v>7866269.0300000012</v>
      </c>
      <c r="C7" s="30">
        <f>INDEX('Raw - Transactions'!$E$2:$E$5,MATCH(A7,'Raw - Transactions'!$A$2:$A$5,0))</f>
        <v>593382</v>
      </c>
      <c r="D7" s="42">
        <f>IFERROR(B7/C7,0)</f>
        <v>13.256669447337467</v>
      </c>
      <c r="E7" s="29">
        <f>'Location Summary'!E7</f>
        <v>8419827.4513122458</v>
      </c>
      <c r="F7" s="30">
        <f>INDEX('Raw - Transactions'!$D$2:$D$5,MATCH(A7,'Raw - Transactions'!$A$2:$A$5,0))</f>
        <v>599083.30000000005</v>
      </c>
      <c r="G7" s="13">
        <f>IFERROR(E7/F7,0)</f>
        <v>14.054518714362835</v>
      </c>
    </row>
    <row r="8" spans="1:7" x14ac:dyDescent="0.75">
      <c r="A8" s="2" t="str">
        <f>'Location Summary'!A8</f>
        <v>Location 3</v>
      </c>
      <c r="B8" s="29">
        <f>SUMIF('Variance Analysis'!$A$2:$A$105,A8,'Variance Analysis'!$F$2:$F$105)</f>
        <v>10464226.33</v>
      </c>
      <c r="C8" s="30">
        <f>INDEX('Raw - Transactions'!$E$2:$E$5,MATCH(A8,'Raw - Transactions'!$A$2:$A$5,0))</f>
        <v>602273</v>
      </c>
      <c r="D8" s="42">
        <f>IFERROR(B8/C8,0)</f>
        <v>17.374556604729086</v>
      </c>
      <c r="E8" s="29">
        <f>'Location Summary'!E8</f>
        <v>10741859.368301239</v>
      </c>
      <c r="F8" s="30">
        <f>INDEX('Raw - Transactions'!$D$2:$D$5,MATCH(A8,'Raw - Transactions'!$A$2:$A$5,0))</f>
        <v>625480.94542614697</v>
      </c>
      <c r="G8" s="13">
        <f>IFERROR(E8/F8,0)</f>
        <v>17.173759563503079</v>
      </c>
    </row>
    <row r="9" spans="1:7" x14ac:dyDescent="0.75">
      <c r="A9" s="2" t="str">
        <f>'Location Summary'!A9</f>
        <v>Location 4</v>
      </c>
      <c r="B9" s="29">
        <f>SUMIF('Variance Analysis'!$A$2:$A$105,A9,'Variance Analysis'!$F$2:$F$105)</f>
        <v>14710693.249999996</v>
      </c>
      <c r="C9" s="30">
        <f>INDEX('Raw - Transactions'!$E$2:$E$5,MATCH(A9,'Raw - Transactions'!$A$2:$A$5,0))</f>
        <v>606371</v>
      </c>
      <c r="D9" s="13">
        <f>IFERROR(B9/C9,0)</f>
        <v>24.260218991343578</v>
      </c>
      <c r="E9" s="29">
        <f>'Location Summary'!E9</f>
        <v>15368664.316943027</v>
      </c>
      <c r="F9" s="30">
        <f>INDEX('Raw - Transactions'!$D$2:$D$5,MATCH(A9,'Raw - Transactions'!$A$2:$A$5,0))</f>
        <v>629076.37625043199</v>
      </c>
      <c r="G9" s="13">
        <f>IFERROR(E9/F9,0)</f>
        <v>24.430522106944995</v>
      </c>
    </row>
    <row r="10" spans="1:7" x14ac:dyDescent="0.75">
      <c r="A10" s="10" t="s">
        <v>80</v>
      </c>
      <c r="B10" s="12">
        <f>SUM(B6:B9)</f>
        <v>42185719.670000002</v>
      </c>
      <c r="C10" s="14">
        <f>SUM(C6:C9)</f>
        <v>2205025</v>
      </c>
      <c r="D10" s="15">
        <f>IFERROR(B10/C10,0)</f>
        <v>19.131628743438284</v>
      </c>
      <c r="E10" s="12">
        <f>SUM(E6:E9)</f>
        <v>44389817.70111157</v>
      </c>
      <c r="F10" s="14">
        <f>SUM(F6:F9)</f>
        <v>2279623.0873737978</v>
      </c>
      <c r="G10" s="15">
        <f>IFERROR(E10/F10,0)</f>
        <v>19.472437328334891</v>
      </c>
    </row>
    <row r="17" spans="4:4" x14ac:dyDescent="0.75">
      <c r="D17" s="2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9:F29"/>
  <sheetViews>
    <sheetView tabSelected="1" zoomScale="44" zoomScaleNormal="100" workbookViewId="0">
      <selection activeCell="J28" sqref="J28"/>
    </sheetView>
  </sheetViews>
  <sheetFormatPr defaultColWidth="8.6796875" defaultRowHeight="14.75" x14ac:dyDescent="0.75"/>
  <cols>
    <col min="1" max="1" width="12.1328125" customWidth="1"/>
    <col min="2" max="2" width="14.5" customWidth="1"/>
    <col min="3" max="3" width="15.26953125" customWidth="1"/>
    <col min="4" max="4" width="12.86328125" customWidth="1"/>
    <col min="5" max="5" width="14.54296875" customWidth="1"/>
  </cols>
  <sheetData>
    <row r="9" spans="1:6" x14ac:dyDescent="0.75">
      <c r="A9" s="26" t="s">
        <v>82</v>
      </c>
      <c r="B9" s="26"/>
      <c r="C9" s="26"/>
      <c r="D9" s="26"/>
      <c r="E9" s="26"/>
      <c r="F9" s="26"/>
    </row>
    <row r="10" spans="1:6" ht="43.5" x14ac:dyDescent="0.75">
      <c r="A10" s="25" t="s">
        <v>20</v>
      </c>
      <c r="B10" s="25" t="s">
        <v>21</v>
      </c>
      <c r="C10" s="4" t="s">
        <v>104</v>
      </c>
      <c r="D10" s="25" t="s">
        <v>83</v>
      </c>
      <c r="E10" s="25" t="s">
        <v>78</v>
      </c>
      <c r="F10" s="25" t="s">
        <v>84</v>
      </c>
    </row>
    <row r="11" spans="1:6" x14ac:dyDescent="0.75">
      <c r="A11" s="2" t="str">
        <f>'[1]Variance Analysis'!A55</f>
        <v>Location 3</v>
      </c>
      <c r="B11" s="2" t="str">
        <f>'[1]Variance Analysis'!B55</f>
        <v>Position B</v>
      </c>
      <c r="C11" s="29">
        <f>'[1]Variance Analysis'!C55</f>
        <v>1445020.5108672231</v>
      </c>
      <c r="D11" s="29">
        <f>'[1]Variance Analysis'!E55</f>
        <v>1706992.867807284</v>
      </c>
      <c r="E11" s="24">
        <f>'[1]Variance Analysis'!G55</f>
        <v>-261972.35694006085</v>
      </c>
      <c r="F11" s="23">
        <f>'[1]Variance Analysis'!J55</f>
        <v>-82.074350749302994</v>
      </c>
    </row>
    <row r="12" spans="1:6" x14ac:dyDescent="0.75">
      <c r="A12" s="2" t="str">
        <f>'[1]Variance Analysis'!A61</f>
        <v>Location 3</v>
      </c>
      <c r="B12" s="2" t="str">
        <f>'[1]Variance Analysis'!B61</f>
        <v>Position H</v>
      </c>
      <c r="C12" s="29">
        <f>'[1]Variance Analysis'!C61</f>
        <v>1252895.0012335959</v>
      </c>
      <c r="D12" s="29">
        <f>'[1]Variance Analysis'!E61</f>
        <v>1457336.4212250921</v>
      </c>
      <c r="E12" s="24">
        <f>'[1]Variance Analysis'!G61</f>
        <v>-204441.41999149625</v>
      </c>
      <c r="F12" s="23">
        <f>'[1]Variance Analysis'!J61</f>
        <v>-43.62662810838998</v>
      </c>
    </row>
    <row r="13" spans="1:6" x14ac:dyDescent="0.75">
      <c r="A13" s="2" t="str">
        <f>'[1]Variance Analysis'!A29</f>
        <v>Location 2</v>
      </c>
      <c r="B13" s="2" t="str">
        <f>'[1]Variance Analysis'!B29</f>
        <v>Position B</v>
      </c>
      <c r="C13" s="29">
        <f>'[1]Variance Analysis'!C29</f>
        <v>1314928.6497015022</v>
      </c>
      <c r="D13" s="29">
        <f>'[1]Variance Analysis'!E29</f>
        <v>1507894.063452312</v>
      </c>
      <c r="E13" s="24">
        <f>'[1]Variance Analysis'!G29</f>
        <v>-192965.41375080985</v>
      </c>
      <c r="F13" s="23">
        <f>'[1]Variance Analysis'!J29</f>
        <v>-65.990000000000066</v>
      </c>
    </row>
    <row r="14" spans="1:6" x14ac:dyDescent="0.75">
      <c r="A14" s="2" t="str">
        <f>'[1]Variance Analysis'!A80</f>
        <v>Location 4</v>
      </c>
      <c r="B14" s="2" t="str">
        <f>'[1]Variance Analysis'!B80</f>
        <v>Position A</v>
      </c>
      <c r="C14" s="29">
        <f>'[1]Variance Analysis'!C80</f>
        <v>1560596.1132219399</v>
      </c>
      <c r="D14" s="29">
        <f>'[1]Variance Analysis'!E80</f>
        <v>1735596.1132219399</v>
      </c>
      <c r="E14" s="24">
        <f>'[1]Variance Analysis'!G80</f>
        <v>-175000</v>
      </c>
      <c r="F14" s="23">
        <f>'[1]Variance Analysis'!J80</f>
        <v>-60</v>
      </c>
    </row>
    <row r="15" spans="1:6" x14ac:dyDescent="0.75">
      <c r="A15" s="2" t="str">
        <f>'[1]Variance Analysis'!A54</f>
        <v>Location 3</v>
      </c>
      <c r="B15" s="2" t="str">
        <f>'[1]Variance Analysis'!B54</f>
        <v>Position A</v>
      </c>
      <c r="C15" s="29">
        <f>'[1]Variance Analysis'!C54</f>
        <v>889662.45800380257</v>
      </c>
      <c r="D15" s="29">
        <f>'[1]Variance Analysis'!E54</f>
        <v>1055190.2680214441</v>
      </c>
      <c r="E15" s="24">
        <f>'[1]Variance Analysis'!G54</f>
        <v>-165527.81001764152</v>
      </c>
      <c r="F15" s="23">
        <f>'[1]Variance Analysis'!J54</f>
        <v>-53.576846310172016</v>
      </c>
    </row>
    <row r="16" spans="1:6" x14ac:dyDescent="0.75">
      <c r="A16" s="2" t="str">
        <f>'[1]Variance Analysis'!A81</f>
        <v>Location 4</v>
      </c>
      <c r="B16" s="2" t="str">
        <f>'[1]Variance Analysis'!B81</f>
        <v>Position B</v>
      </c>
      <c r="C16" s="29">
        <f>'[1]Variance Analysis'!C81</f>
        <v>2467569.9226734596</v>
      </c>
      <c r="D16" s="29">
        <f>'[1]Variance Analysis'!E81</f>
        <v>2613599.0821734597</v>
      </c>
      <c r="E16" s="24">
        <f>'[1]Variance Analysis'!G81</f>
        <v>-146029.15950000007</v>
      </c>
      <c r="F16" s="23">
        <f>'[1]Variance Analysis'!J81</f>
        <v>-62.900000000000091</v>
      </c>
    </row>
    <row r="17" spans="1:6" x14ac:dyDescent="0.75">
      <c r="A17" s="2" t="str">
        <f>'[1]Variance Analysis'!A6</f>
        <v>Location 1</v>
      </c>
      <c r="B17" s="2" t="str">
        <f>'[1]Variance Analysis'!B6</f>
        <v>Position E</v>
      </c>
      <c r="C17" s="29">
        <f>'[1]Variance Analysis'!C6</f>
        <v>116986.90483814009</v>
      </c>
      <c r="D17" s="29">
        <f>'[1]Variance Analysis'!E6</f>
        <v>248284.51384852748</v>
      </c>
      <c r="E17" s="24">
        <f>'[1]Variance Analysis'!G6</f>
        <v>-131297.60901038739</v>
      </c>
      <c r="F17" s="23">
        <f>'[1]Variance Analysis'!J6</f>
        <v>-24.456722415028196</v>
      </c>
    </row>
    <row r="18" spans="1:6" x14ac:dyDescent="0.75">
      <c r="A18" s="2" t="str">
        <f>'[1]Variance Analysis'!A22</f>
        <v>Location 1</v>
      </c>
      <c r="B18" s="2" t="str">
        <f>'[1]Variance Analysis'!B22</f>
        <v>Position U</v>
      </c>
      <c r="C18" s="29">
        <f>'[1]Variance Analysis'!C22</f>
        <v>188589.42466745284</v>
      </c>
      <c r="D18" s="29">
        <f>'[1]Variance Analysis'!E22</f>
        <v>301888.71782757802</v>
      </c>
      <c r="E18" s="24">
        <f>'[1]Variance Analysis'!G22</f>
        <v>-113299.29316012518</v>
      </c>
      <c r="F18" s="28">
        <f>'[1]Variance Analysis'!J22</f>
        <v>1</v>
      </c>
    </row>
    <row r="20" spans="1:6" x14ac:dyDescent="0.75">
      <c r="A20" s="26" t="s">
        <v>85</v>
      </c>
      <c r="B20" s="26"/>
      <c r="C20" s="26"/>
      <c r="D20" s="26"/>
      <c r="E20" s="26"/>
      <c r="F20" s="26"/>
    </row>
    <row r="21" spans="1:6" ht="43.5" x14ac:dyDescent="0.75">
      <c r="A21" s="25" t="s">
        <v>20</v>
      </c>
      <c r="B21" s="25" t="s">
        <v>21</v>
      </c>
      <c r="C21" s="4" t="s">
        <v>104</v>
      </c>
      <c r="D21" s="25" t="s">
        <v>83</v>
      </c>
      <c r="E21" s="25" t="s">
        <v>78</v>
      </c>
      <c r="F21" s="25" t="s">
        <v>84</v>
      </c>
    </row>
    <row r="22" spans="1:6" x14ac:dyDescent="0.75">
      <c r="A22" s="34" t="str">
        <f>'[1]Variance Analysis'!A64</f>
        <v>Location 3</v>
      </c>
      <c r="B22" s="34" t="str">
        <f>'[1]Variance Analysis'!B64</f>
        <v>Position K</v>
      </c>
      <c r="C22" s="35">
        <f>'[1]Variance Analysis'!C64</f>
        <v>1274716.9754377371</v>
      </c>
      <c r="D22" s="35">
        <f>'[1]Variance Analysis'!E64</f>
        <v>857934.79620085517</v>
      </c>
      <c r="E22" s="36">
        <f>'[1]Variance Analysis'!G64</f>
        <v>416782.1792368819</v>
      </c>
      <c r="F22" s="37">
        <f>'[1]Variance Analysis'!J64</f>
        <v>124.79767416019098</v>
      </c>
    </row>
    <row r="23" spans="1:6" x14ac:dyDescent="0.75">
      <c r="A23" s="2" t="str">
        <f>'[1]Variance Analysis'!A25</f>
        <v>Location 1</v>
      </c>
      <c r="B23" s="2" t="str">
        <f>'[1]Variance Analysis'!B25</f>
        <v>Position X</v>
      </c>
      <c r="C23" s="29">
        <f>'[1]Variance Analysis'!C25</f>
        <v>1180430.1025481287</v>
      </c>
      <c r="D23" s="29">
        <f>'[1]Variance Analysis'!E25</f>
        <v>891350.77962315397</v>
      </c>
      <c r="E23" s="27">
        <f>'[1]Variance Analysis'!G25</f>
        <v>289079.32292497472</v>
      </c>
      <c r="F23" s="28">
        <f>'[1]Variance Analysis'!J25</f>
        <v>2</v>
      </c>
    </row>
    <row r="24" spans="1:6" x14ac:dyDescent="0.75">
      <c r="A24" s="2" t="str">
        <f>'[1]Variance Analysis'!A65</f>
        <v>Location 3</v>
      </c>
      <c r="B24" s="2" t="str">
        <f>'[1]Variance Analysis'!B65</f>
        <v>Position L</v>
      </c>
      <c r="C24" s="29">
        <f>'[1]Variance Analysis'!C65</f>
        <v>356485.12788105011</v>
      </c>
      <c r="D24" s="29">
        <f>'[1]Variance Analysis'!E65</f>
        <v>164226.05489931488</v>
      </c>
      <c r="E24" s="27">
        <f>'[1]Variance Analysis'!G65</f>
        <v>192259.07298173523</v>
      </c>
      <c r="F24" s="28">
        <f>'[1]Variance Analysis'!J65</f>
        <v>42.600261222830994</v>
      </c>
    </row>
    <row r="25" spans="1:6" x14ac:dyDescent="0.75">
      <c r="A25" s="2" t="str">
        <f>'[1]Variance Analysis'!A51</f>
        <v>Location 2</v>
      </c>
      <c r="B25" s="2" t="str">
        <f>'[1]Variance Analysis'!B51</f>
        <v>Position X</v>
      </c>
      <c r="C25" s="29">
        <f>'[1]Variance Analysis'!C51</f>
        <v>743584.25230562501</v>
      </c>
      <c r="D25" s="29">
        <f>'[1]Variance Analysis'!E51</f>
        <v>647008.197429316</v>
      </c>
      <c r="E25" s="27">
        <f>'[1]Variance Analysis'!G51</f>
        <v>96576.054876309005</v>
      </c>
      <c r="F25" s="28">
        <f>'[1]Variance Analysis'!J51</f>
        <v>18.799999999999997</v>
      </c>
    </row>
    <row r="26" spans="1:6" x14ac:dyDescent="0.75">
      <c r="A26" s="2" t="str">
        <f>'[1]Variance Analysis'!A62</f>
        <v>Location 3</v>
      </c>
      <c r="B26" s="2" t="str">
        <f>'[1]Variance Analysis'!B62</f>
        <v>Position I</v>
      </c>
      <c r="C26" s="29">
        <f>'[1]Variance Analysis'!C62</f>
        <v>634823.00543946284</v>
      </c>
      <c r="D26" s="29">
        <f>'[1]Variance Analysis'!E62</f>
        <v>589056.97007229237</v>
      </c>
      <c r="E26" s="27">
        <f>'[1]Variance Analysis'!G62</f>
        <v>45766.035367170465</v>
      </c>
      <c r="F26" s="23">
        <f>'[1]Variance Analysis'!J62</f>
        <v>-11.780000000000001</v>
      </c>
    </row>
    <row r="27" spans="1:6" x14ac:dyDescent="0.75">
      <c r="A27" s="2" t="str">
        <f>'[1]Variance Analysis'!A99</f>
        <v>Location 4</v>
      </c>
      <c r="B27" s="2" t="str">
        <f>'[1]Variance Analysis'!B99</f>
        <v>Position T</v>
      </c>
      <c r="C27" s="29">
        <f>'[1]Variance Analysis'!C99</f>
        <v>2256338.0474111</v>
      </c>
      <c r="D27" s="29">
        <f>'[1]Variance Analysis'!E99</f>
        <v>2215244.20339143</v>
      </c>
      <c r="E27" s="27">
        <f>'[1]Variance Analysis'!G99</f>
        <v>41093.844019670039</v>
      </c>
      <c r="F27" s="28">
        <f>'[1]Variance Analysis'!J99</f>
        <v>2.5703166666669972</v>
      </c>
    </row>
    <row r="28" spans="1:6" x14ac:dyDescent="0.75">
      <c r="A28" s="2" t="str">
        <f>'[1]Variance Analysis'!A94</f>
        <v>Location 4</v>
      </c>
      <c r="B28" s="2" t="str">
        <f>'[1]Variance Analysis'!B94</f>
        <v>Position O</v>
      </c>
      <c r="C28" s="29">
        <f>'[1]Variance Analysis'!C94</f>
        <v>314685.07356640499</v>
      </c>
      <c r="D28" s="29">
        <f>'[1]Variance Analysis'!E94</f>
        <v>273965.39851307997</v>
      </c>
      <c r="E28" s="27">
        <f>'[1]Variance Analysis'!G94</f>
        <v>40719.675053325016</v>
      </c>
      <c r="F28" s="28">
        <f>'[1]Variance Analysis'!J94</f>
        <v>4.1944833333333023</v>
      </c>
    </row>
    <row r="29" spans="1:6" x14ac:dyDescent="0.75">
      <c r="A29" s="2" t="str">
        <f>'[1]Variance Analysis'!A48</f>
        <v>Location 2</v>
      </c>
      <c r="B29" s="2" t="str">
        <f>'[1]Variance Analysis'!B48</f>
        <v>Position U</v>
      </c>
      <c r="C29" s="29">
        <f>'[1]Variance Analysis'!C48</f>
        <v>202357.82671875</v>
      </c>
      <c r="D29" s="29">
        <f>'[1]Variance Analysis'!E48</f>
        <v>161886.261375</v>
      </c>
      <c r="E29" s="27">
        <f>'[1]Variance Analysis'!G48</f>
        <v>40471.56534375</v>
      </c>
      <c r="F29" s="28">
        <f>'[1]Variance Analysis'!J48</f>
        <v>3.5</v>
      </c>
    </row>
  </sheetData>
  <mergeCells count="2">
    <mergeCell ref="A9:F9"/>
    <mergeCell ref="A20:F2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5"/>
  <sheetViews>
    <sheetView zoomScale="66"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J2" sqref="J2"/>
    </sheetView>
  </sheetViews>
  <sheetFormatPr defaultColWidth="8.6796875" defaultRowHeight="14.75" x14ac:dyDescent="0.75"/>
  <cols>
    <col min="1" max="1" width="12" customWidth="1"/>
    <col min="2" max="2" width="11" customWidth="1"/>
    <col min="3" max="6" width="12" customWidth="1"/>
    <col min="7" max="7" width="13" customWidth="1"/>
    <col min="8" max="9" width="12" customWidth="1"/>
    <col min="10" max="10" width="10" customWidth="1"/>
    <col min="11" max="11" width="12" customWidth="1"/>
  </cols>
  <sheetData>
    <row r="1" spans="1:13" ht="39.75" customHeight="1" x14ac:dyDescent="0.75">
      <c r="A1" s="4" t="s">
        <v>20</v>
      </c>
      <c r="B1" s="4" t="s">
        <v>21</v>
      </c>
      <c r="C1" s="4" t="s">
        <v>69</v>
      </c>
      <c r="D1" s="4" t="s">
        <v>70</v>
      </c>
      <c r="E1" s="4" t="s">
        <v>71</v>
      </c>
      <c r="F1" s="4" t="s">
        <v>72</v>
      </c>
      <c r="G1" s="4" t="s">
        <v>73</v>
      </c>
      <c r="H1" s="4" t="s">
        <v>74</v>
      </c>
      <c r="I1" s="4" t="s">
        <v>75</v>
      </c>
      <c r="J1" s="4" t="s">
        <v>76</v>
      </c>
      <c r="K1" s="4" t="s">
        <v>77</v>
      </c>
    </row>
    <row r="2" spans="1:13" x14ac:dyDescent="0.75">
      <c r="A2" s="2" t="str">
        <f>'Raw - Workforce'!A55</f>
        <v>Location 3</v>
      </c>
      <c r="B2" s="2" t="str">
        <f>'Raw - Workforce'!B55</f>
        <v>Position B</v>
      </c>
      <c r="C2" s="29">
        <f>'Raw - Workforce'!G55+'Raw - Workforce'!K55</f>
        <v>1445020.5108672231</v>
      </c>
      <c r="D2" s="29">
        <f>'Raw - Workforce'!H55+'Raw - Workforce'!L55</f>
        <v>1486914.2955136979</v>
      </c>
      <c r="E2" s="29">
        <f>'Raw - Workforce'!I55+'Raw - Workforce'!M55</f>
        <v>1706992.867807284</v>
      </c>
      <c r="F2" s="29">
        <f>'Raw - Workforce'!J55+'Raw - Workforce'!N55</f>
        <v>1744438.02</v>
      </c>
      <c r="G2" s="29">
        <f>C2-E2</f>
        <v>-261972.35694006085</v>
      </c>
      <c r="H2" s="43">
        <f>IFERROR(G2/E2,0)</f>
        <v>-0.15347009462117858</v>
      </c>
      <c r="I2" s="29">
        <f>C2-D2</f>
        <v>-41893.784646474756</v>
      </c>
      <c r="J2" s="44">
        <f>'Raw - Workforce'!C55-'Raw - Workforce'!E55</f>
        <v>-82.074350749302994</v>
      </c>
      <c r="K2" s="43">
        <f>IFERROR('Raw - Workforce'!K55/'Raw - Workforce'!G55,0)</f>
        <v>0.17854425964157614</v>
      </c>
      <c r="M2" t="s">
        <v>93</v>
      </c>
    </row>
    <row r="3" spans="1:13" x14ac:dyDescent="0.75">
      <c r="A3" s="2" t="str">
        <f>'Raw - Workforce'!A61</f>
        <v>Location 3</v>
      </c>
      <c r="B3" s="2" t="str">
        <f>'Raw - Workforce'!B61</f>
        <v>Position H</v>
      </c>
      <c r="C3" s="29">
        <f>'Raw - Workforce'!G61+'Raw - Workforce'!K61</f>
        <v>1252895.0012335959</v>
      </c>
      <c r="D3" s="29">
        <f>'Raw - Workforce'!H61+'Raw - Workforce'!L61</f>
        <v>1274973.8650305001</v>
      </c>
      <c r="E3" s="29">
        <f>'Raw - Workforce'!I61+'Raw - Workforce'!M61</f>
        <v>1457336.4212250921</v>
      </c>
      <c r="F3" s="29">
        <f>'Raw - Workforce'!J61+'Raw - Workforce'!N61</f>
        <v>1449146.02</v>
      </c>
      <c r="G3" s="29">
        <f>C3-E3</f>
        <v>-204441.41999149625</v>
      </c>
      <c r="H3" s="43">
        <f>IFERROR(G3/E3,0)</f>
        <v>-0.14028430018899485</v>
      </c>
      <c r="I3" s="29">
        <f>C3-D3</f>
        <v>-22078.863796904217</v>
      </c>
      <c r="J3" s="44">
        <f>'Raw - Workforce'!C61-'Raw - Workforce'!E61</f>
        <v>-43.62662810838998</v>
      </c>
      <c r="K3" s="43">
        <f>IFERROR('Raw - Workforce'!K61/'Raw - Workforce'!G61,0)</f>
        <v>9.9223175769570127E-2</v>
      </c>
    </row>
    <row r="4" spans="1:13" x14ac:dyDescent="0.75">
      <c r="A4" s="2" t="str">
        <f>'Raw - Workforce'!A29</f>
        <v>Location 2</v>
      </c>
      <c r="B4" s="2" t="str">
        <f>'Raw - Workforce'!B29</f>
        <v>Position B</v>
      </c>
      <c r="C4" s="29">
        <f>'Raw - Workforce'!G29+'Raw - Workforce'!K29</f>
        <v>1314928.6497015022</v>
      </c>
      <c r="D4" s="29">
        <f>'Raw - Workforce'!H29+'Raw - Workforce'!L29</f>
        <v>1267658.3110514821</v>
      </c>
      <c r="E4" s="29">
        <f>'Raw - Workforce'!I29+'Raw - Workforce'!M29</f>
        <v>1507894.063452312</v>
      </c>
      <c r="F4" s="29">
        <f>'Raw - Workforce'!J29+'Raw - Workforce'!N29</f>
        <v>1286692.17</v>
      </c>
      <c r="G4" s="29">
        <f>C4-E4</f>
        <v>-192965.41375080985</v>
      </c>
      <c r="H4" s="43">
        <f>IFERROR(G4/E4,0)</f>
        <v>-0.1279701395660495</v>
      </c>
      <c r="I4" s="29">
        <f>C4-D4</f>
        <v>47270.338650020072</v>
      </c>
      <c r="J4" s="44">
        <f>'Raw - Workforce'!C29-'Raw - Workforce'!E29</f>
        <v>-65.990000000000066</v>
      </c>
      <c r="K4" s="43">
        <f>IFERROR('Raw - Workforce'!K29/'Raw - Workforce'!G29,0)</f>
        <v>7.1724466182728902E-2</v>
      </c>
      <c r="M4" t="s">
        <v>94</v>
      </c>
    </row>
    <row r="5" spans="1:13" x14ac:dyDescent="0.75">
      <c r="A5" s="2" t="str">
        <f>'Raw - Workforce'!A80</f>
        <v>Location 4</v>
      </c>
      <c r="B5" s="2" t="str">
        <f>'Raw - Workforce'!B80</f>
        <v>Position A</v>
      </c>
      <c r="C5" s="29">
        <f>'Raw - Workforce'!G80+'Raw - Workforce'!K80</f>
        <v>1560596.1132219399</v>
      </c>
      <c r="D5" s="29">
        <f>'Raw - Workforce'!H80+'Raw - Workforce'!L80</f>
        <v>1688562.3489014199</v>
      </c>
      <c r="E5" s="29">
        <f>'Raw - Workforce'!I80+'Raw - Workforce'!M80</f>
        <v>1735596.1132219399</v>
      </c>
      <c r="F5" s="29">
        <f>'Raw - Workforce'!J80+'Raw - Workforce'!N80</f>
        <v>1651815.21</v>
      </c>
      <c r="G5" s="29">
        <f>C5-E5</f>
        <v>-175000</v>
      </c>
      <c r="H5" s="43">
        <f>IFERROR(G5/E5,0)</f>
        <v>-0.100829910061928</v>
      </c>
      <c r="I5" s="29">
        <f>C5-D5</f>
        <v>-127966.23567948001</v>
      </c>
      <c r="J5" s="44">
        <f>'Raw - Workforce'!C80-'Raw - Workforce'!E80</f>
        <v>-60</v>
      </c>
      <c r="K5" s="43">
        <f>IFERROR('Raw - Workforce'!K80/'Raw - Workforce'!G80,0)</f>
        <v>0.11844628020923566</v>
      </c>
      <c r="M5" s="17"/>
    </row>
    <row r="6" spans="1:13" x14ac:dyDescent="0.75">
      <c r="A6" s="2" t="str">
        <f>'Raw - Workforce'!A54</f>
        <v>Location 3</v>
      </c>
      <c r="B6" s="2" t="str">
        <f>'Raw - Workforce'!B54</f>
        <v>Position A</v>
      </c>
      <c r="C6" s="29">
        <f>'Raw - Workforce'!G54+'Raw - Workforce'!K54</f>
        <v>889662.45800380257</v>
      </c>
      <c r="D6" s="29">
        <f>'Raw - Workforce'!H54+'Raw - Workforce'!L54</f>
        <v>855580.97016398399</v>
      </c>
      <c r="E6" s="29">
        <f>'Raw - Workforce'!I54+'Raw - Workforce'!M54</f>
        <v>1055190.2680214441</v>
      </c>
      <c r="F6" s="29">
        <f>'Raw - Workforce'!J54+'Raw - Workforce'!N54</f>
        <v>1017975.43</v>
      </c>
      <c r="G6" s="29">
        <f>C6-E6</f>
        <v>-165527.81001764152</v>
      </c>
      <c r="H6" s="43">
        <f>IFERROR(G6/E6,0)</f>
        <v>-0.15687010677990595</v>
      </c>
      <c r="I6" s="29">
        <f>C6-D6</f>
        <v>34081.487839818583</v>
      </c>
      <c r="J6" s="44">
        <f>'Raw - Workforce'!C54-'Raw - Workforce'!E54</f>
        <v>-53.576846310172016</v>
      </c>
      <c r="K6" s="43">
        <f>IFERROR('Raw - Workforce'!K54/'Raw - Workforce'!G54,0)</f>
        <v>9.9182288721015643E-2</v>
      </c>
    </row>
    <row r="7" spans="1:13" x14ac:dyDescent="0.75">
      <c r="A7" s="2" t="str">
        <f>'Raw - Workforce'!A81</f>
        <v>Location 4</v>
      </c>
      <c r="B7" s="2" t="str">
        <f>'Raw - Workforce'!B81</f>
        <v>Position B</v>
      </c>
      <c r="C7" s="29">
        <f>'Raw - Workforce'!G81+'Raw - Workforce'!K81</f>
        <v>2467569.9226734596</v>
      </c>
      <c r="D7" s="29">
        <f>'Raw - Workforce'!H81+'Raw - Workforce'!L81</f>
        <v>2359061.7587025301</v>
      </c>
      <c r="E7" s="29">
        <f>'Raw - Workforce'!I81+'Raw - Workforce'!M81</f>
        <v>2613599.0821734597</v>
      </c>
      <c r="F7" s="29">
        <f>'Raw - Workforce'!J81+'Raw - Workforce'!N81</f>
        <v>2482689.4499999997</v>
      </c>
      <c r="G7" s="29">
        <f>C7-E7</f>
        <v>-146029.15950000007</v>
      </c>
      <c r="H7" s="43">
        <f>IFERROR(G7/E7,0)</f>
        <v>-5.5872823225267869E-2</v>
      </c>
      <c r="I7" s="29">
        <f>C7-D7</f>
        <v>108508.16397092957</v>
      </c>
      <c r="J7" s="44">
        <f>'Raw - Workforce'!C81-'Raw - Workforce'!E81</f>
        <v>-62.900000000000091</v>
      </c>
      <c r="K7" s="43">
        <f>IFERROR('Raw - Workforce'!K81/'Raw - Workforce'!G81,0)</f>
        <v>0.14475791225752604</v>
      </c>
    </row>
    <row r="8" spans="1:13" x14ac:dyDescent="0.75">
      <c r="A8" s="2" t="str">
        <f>'Raw - Workforce'!A6</f>
        <v>Location 1</v>
      </c>
      <c r="B8" s="2" t="str">
        <f>'Raw - Workforce'!B6</f>
        <v>Position E</v>
      </c>
      <c r="C8" s="29">
        <f>'Raw - Workforce'!G6+'Raw - Workforce'!K6</f>
        <v>116986.90483814009</v>
      </c>
      <c r="D8" s="29">
        <f>'Raw - Workforce'!H6+'Raw - Workforce'!L6</f>
        <v>185360.5460300307</v>
      </c>
      <c r="E8" s="29">
        <f>'Raw - Workforce'!I6+'Raw - Workforce'!M6</f>
        <v>248284.51384852748</v>
      </c>
      <c r="F8" s="29">
        <f>'Raw - Workforce'!J6+'Raw - Workforce'!N6</f>
        <v>215242.21000000002</v>
      </c>
      <c r="G8" s="29">
        <f>C8-E8</f>
        <v>-131297.60901038739</v>
      </c>
      <c r="H8" s="43">
        <f>IFERROR(G8/E8,0)</f>
        <v>-0.52881916385042427</v>
      </c>
      <c r="I8" s="29">
        <f>C8-D8</f>
        <v>-68373.641191890609</v>
      </c>
      <c r="J8" s="44">
        <f>'Raw - Workforce'!C6-'Raw - Workforce'!E6</f>
        <v>-24.456722415028196</v>
      </c>
      <c r="K8" s="43">
        <f>IFERROR('Raw - Workforce'!K6/'Raw - Workforce'!G6,0)</f>
        <v>0.2434561296218497</v>
      </c>
    </row>
    <row r="9" spans="1:13" x14ac:dyDescent="0.75">
      <c r="A9" s="2" t="str">
        <f>'Raw - Workforce'!A22</f>
        <v>Location 1</v>
      </c>
      <c r="B9" s="2" t="str">
        <f>'Raw - Workforce'!B22</f>
        <v>Position U</v>
      </c>
      <c r="C9" s="29">
        <f>'Raw - Workforce'!G22+'Raw - Workforce'!K22</f>
        <v>188589.42466745284</v>
      </c>
      <c r="D9" s="29">
        <f>'Raw - Workforce'!H22+'Raw - Workforce'!L22</f>
        <v>188589.42466745284</v>
      </c>
      <c r="E9" s="29">
        <f>'Raw - Workforce'!I22+'Raw - Workforce'!M22</f>
        <v>301888.71782757802</v>
      </c>
      <c r="F9" s="29">
        <f>'Raw - Workforce'!J22+'Raw - Workforce'!N22</f>
        <v>287026.73</v>
      </c>
      <c r="G9" s="29">
        <f>C9-E9</f>
        <v>-113299.29316012518</v>
      </c>
      <c r="H9" s="43">
        <f>IFERROR(G9/E9,0)</f>
        <v>-0.37530151499346659</v>
      </c>
      <c r="I9" s="29">
        <f>C9-D9</f>
        <v>0</v>
      </c>
      <c r="J9" s="44">
        <f>'Raw - Workforce'!C22-'Raw - Workforce'!E22</f>
        <v>1</v>
      </c>
      <c r="K9" s="43">
        <f>IFERROR('Raw - Workforce'!K22/'Raw - Workforce'!G22,0)</f>
        <v>-1.619580075474758E-3</v>
      </c>
    </row>
    <row r="10" spans="1:13" x14ac:dyDescent="0.75">
      <c r="A10" s="2" t="str">
        <f>'Raw - Workforce'!A13</f>
        <v>Location 1</v>
      </c>
      <c r="B10" s="2" t="str">
        <f>'Raw - Workforce'!B13</f>
        <v>Position L</v>
      </c>
      <c r="C10" s="29">
        <f>'Raw - Workforce'!G13+'Raw - Workforce'!K13</f>
        <v>660012.41472578375</v>
      </c>
      <c r="D10" s="29">
        <f>'Raw - Workforce'!H13+'Raw - Workforce'!L13</f>
        <v>660012.41472578375</v>
      </c>
      <c r="E10" s="29">
        <f>'Raw - Workforce'!I13+'Raw - Workforce'!M13</f>
        <v>756530.20445123198</v>
      </c>
      <c r="F10" s="29">
        <f>'Raw - Workforce'!J13+'Raw - Workforce'!N13</f>
        <v>690487.45</v>
      </c>
      <c r="G10" s="29">
        <f>C10-E10</f>
        <v>-96517.789725448238</v>
      </c>
      <c r="H10" s="43">
        <f>IFERROR(G10/E10,0)</f>
        <v>-0.12757955882998726</v>
      </c>
      <c r="I10" s="29">
        <f>C10-D10</f>
        <v>0</v>
      </c>
      <c r="J10" s="44">
        <f>'Raw - Workforce'!C13-'Raw - Workforce'!E13</f>
        <v>-32.418708585062006</v>
      </c>
      <c r="K10" s="43">
        <f>IFERROR('Raw - Workforce'!K13/'Raw - Workforce'!G13,0)</f>
        <v>0.15112894542887856</v>
      </c>
    </row>
    <row r="11" spans="1:13" x14ac:dyDescent="0.75">
      <c r="A11" s="2" t="str">
        <f>'Raw - Workforce'!A12</f>
        <v>Location 1</v>
      </c>
      <c r="B11" s="2" t="str">
        <f>'Raw - Workforce'!B12</f>
        <v>Position K</v>
      </c>
      <c r="C11" s="29">
        <f>'Raw - Workforce'!G12+'Raw - Workforce'!K12</f>
        <v>654204.24334241101</v>
      </c>
      <c r="D11" s="29">
        <f>'Raw - Workforce'!H12+'Raw - Workforce'!L12</f>
        <v>654204.24334241101</v>
      </c>
      <c r="E11" s="29">
        <f>'Raw - Workforce'!I12+'Raw - Workforce'!M12</f>
        <v>747824.39672761795</v>
      </c>
      <c r="F11" s="29">
        <f>'Raw - Workforce'!J12+'Raw - Workforce'!N12</f>
        <v>658390.69000000006</v>
      </c>
      <c r="G11" s="29">
        <f>C11-E11</f>
        <v>-93620.153385206941</v>
      </c>
      <c r="H11" s="43">
        <f>IFERROR(G11/E11,0)</f>
        <v>-0.12519002294506107</v>
      </c>
      <c r="I11" s="29">
        <f>C11-D11</f>
        <v>0</v>
      </c>
      <c r="J11" s="44">
        <f>'Raw - Workforce'!C12-'Raw - Workforce'!E12</f>
        <v>-16.590000000000003</v>
      </c>
      <c r="K11" s="43">
        <f>IFERROR('Raw - Workforce'!K12/'Raw - Workforce'!G12,0)</f>
        <v>0.15112894542887861</v>
      </c>
    </row>
    <row r="12" spans="1:13" x14ac:dyDescent="0.75">
      <c r="A12" s="2" t="str">
        <f>'Raw - Workforce'!A69</f>
        <v>Location 3</v>
      </c>
      <c r="B12" s="2" t="str">
        <f>'Raw - Workforce'!B69</f>
        <v>Position P</v>
      </c>
      <c r="C12" s="29">
        <f>'Raw - Workforce'!G69+'Raw - Workforce'!K69</f>
        <v>515660.66407843248</v>
      </c>
      <c r="D12" s="29">
        <f>'Raw - Workforce'!H69+'Raw - Workforce'!L69</f>
        <v>522817.51169463102</v>
      </c>
      <c r="E12" s="29">
        <f>'Raw - Workforce'!I69+'Raw - Workforce'!M69</f>
        <v>600654.20759388595</v>
      </c>
      <c r="F12" s="29">
        <f>'Raw - Workforce'!J69+'Raw - Workforce'!N69</f>
        <v>508169.82</v>
      </c>
      <c r="G12" s="29">
        <f>C12-E12</f>
        <v>-84993.543515453464</v>
      </c>
      <c r="H12" s="43">
        <f>IFERROR(G12/E12,0)</f>
        <v>-0.14150162013502326</v>
      </c>
      <c r="I12" s="29">
        <f>C12-D12</f>
        <v>-7156.8476161985309</v>
      </c>
      <c r="J12" s="44">
        <f>'Raw - Workforce'!C69-'Raw - Workforce'!E69</f>
        <v>-7.5</v>
      </c>
      <c r="K12" s="43">
        <f>IFERROR('Raw - Workforce'!K69/'Raw - Workforce'!G69,0)</f>
        <v>0.10206543632926846</v>
      </c>
    </row>
    <row r="13" spans="1:13" x14ac:dyDescent="0.75">
      <c r="A13" s="2" t="str">
        <f>'Raw - Workforce'!A77</f>
        <v>Location 3</v>
      </c>
      <c r="B13" s="2" t="str">
        <f>'Raw - Workforce'!B77</f>
        <v>Position X</v>
      </c>
      <c r="C13" s="29">
        <f>'Raw - Workforce'!G77+'Raw - Workforce'!K77</f>
        <v>765628.08621509594</v>
      </c>
      <c r="D13" s="29">
        <f>'Raw - Workforce'!H77+'Raw - Workforce'!L77</f>
        <v>760506.82811332296</v>
      </c>
      <c r="E13" s="29">
        <f>'Raw - Workforce'!I77+'Raw - Workforce'!M77</f>
        <v>826019.43778341799</v>
      </c>
      <c r="F13" s="29">
        <f>'Raw - Workforce'!J77+'Raw - Workforce'!N77</f>
        <v>777317.00999999989</v>
      </c>
      <c r="G13" s="29">
        <f>C13-E13</f>
        <v>-60391.351568322047</v>
      </c>
      <c r="H13" s="43">
        <f>IFERROR(G13/E13,0)</f>
        <v>-7.3111295940419069E-2</v>
      </c>
      <c r="I13" s="29">
        <f>C13-D13</f>
        <v>5121.2581017729826</v>
      </c>
      <c r="J13" s="44">
        <f>'Raw - Workforce'!C77-'Raw - Workforce'!E77</f>
        <v>-13.879999999999995</v>
      </c>
      <c r="K13" s="43">
        <f>IFERROR('Raw - Workforce'!K77/'Raw - Workforce'!G77,0)</f>
        <v>0</v>
      </c>
    </row>
    <row r="14" spans="1:13" x14ac:dyDescent="0.75">
      <c r="A14" s="2" t="str">
        <f>'Raw - Workforce'!A28</f>
        <v>Location 2</v>
      </c>
      <c r="B14" s="2" t="str">
        <f>'Raw - Workforce'!B28</f>
        <v>Position A</v>
      </c>
      <c r="C14" s="29">
        <f>'Raw - Workforce'!G28+'Raw - Workforce'!K28</f>
        <v>1090197.008498366</v>
      </c>
      <c r="D14" s="29">
        <f>'Raw - Workforce'!H28+'Raw - Workforce'!L28</f>
        <v>1032113.028498366</v>
      </c>
      <c r="E14" s="29">
        <f>'Raw - Workforce'!I28+'Raw - Workforce'!M28</f>
        <v>1149261.3349472659</v>
      </c>
      <c r="F14" s="29">
        <f>'Raw - Workforce'!J28+'Raw - Workforce'!N28</f>
        <v>1056739.52</v>
      </c>
      <c r="G14" s="29">
        <f>C14-E14</f>
        <v>-59064.326448899927</v>
      </c>
      <c r="H14" s="43">
        <f>IFERROR(G14/E14,0)</f>
        <v>-5.1393294677933375E-2</v>
      </c>
      <c r="I14" s="29">
        <f>C14-D14</f>
        <v>58083.979999999981</v>
      </c>
      <c r="J14" s="44">
        <f>'Raw - Workforce'!C28-'Raw - Workforce'!E28</f>
        <v>-25.560000000000002</v>
      </c>
      <c r="K14" s="43">
        <f>IFERROR('Raw - Workforce'!K28/'Raw - Workforce'!G28,0)</f>
        <v>0.10278398641822607</v>
      </c>
    </row>
    <row r="15" spans="1:13" x14ac:dyDescent="0.75">
      <c r="A15" s="2" t="str">
        <f>'Raw - Workforce'!A38</f>
        <v>Location 2</v>
      </c>
      <c r="B15" s="2" t="str">
        <f>'Raw - Workforce'!B38</f>
        <v>Position K</v>
      </c>
      <c r="C15" s="29">
        <f>'Raw - Workforce'!G38+'Raw - Workforce'!K38</f>
        <v>443064.69676135288</v>
      </c>
      <c r="D15" s="29">
        <f>'Raw - Workforce'!H38+'Raw - Workforce'!L38</f>
        <v>443064.69676135288</v>
      </c>
      <c r="E15" s="29">
        <f>'Raw - Workforce'!I38+'Raw - Workforce'!M38</f>
        <v>493294.41712640092</v>
      </c>
      <c r="F15" s="29">
        <f>'Raw - Workforce'!J38+'Raw - Workforce'!N38</f>
        <v>488091.83</v>
      </c>
      <c r="G15" s="29">
        <f>C15-E15</f>
        <v>-50229.720365048037</v>
      </c>
      <c r="H15" s="43">
        <f>IFERROR(G15/E15,0)</f>
        <v>-0.10182503312657046</v>
      </c>
      <c r="I15" s="29">
        <f>C15-D15</f>
        <v>0</v>
      </c>
      <c r="J15" s="44">
        <f>'Raw - Workforce'!C38-'Raw - Workforce'!E38</f>
        <v>-31.45999999999998</v>
      </c>
      <c r="K15" s="43">
        <f>IFERROR('Raw - Workforce'!K38/'Raw - Workforce'!G38,0)</f>
        <v>4.796992515099243E-2</v>
      </c>
    </row>
    <row r="16" spans="1:13" x14ac:dyDescent="0.75">
      <c r="A16" s="2" t="str">
        <f>'Raw - Workforce'!A95</f>
        <v>Location 4</v>
      </c>
      <c r="B16" s="2" t="str">
        <f>'Raw - Workforce'!B95</f>
        <v>Position P</v>
      </c>
      <c r="C16" s="29">
        <f>'Raw - Workforce'!G95+'Raw - Workforce'!K95</f>
        <v>720860.11951692402</v>
      </c>
      <c r="D16" s="29">
        <f>'Raw - Workforce'!H95+'Raw - Workforce'!L95</f>
        <v>730860.11951692402</v>
      </c>
      <c r="E16" s="29">
        <f>'Raw - Workforce'!I95+'Raw - Workforce'!M95</f>
        <v>765042.52142220899</v>
      </c>
      <c r="F16" s="29">
        <f>'Raw - Workforce'!J95+'Raw - Workforce'!N95</f>
        <v>776666.77</v>
      </c>
      <c r="G16" s="29">
        <f>C16-E16</f>
        <v>-44182.401905284962</v>
      </c>
      <c r="H16" s="43">
        <f>IFERROR(G16/E16,0)</f>
        <v>-5.775156369498282E-2</v>
      </c>
      <c r="I16" s="29">
        <f>C16-D16</f>
        <v>-10000</v>
      </c>
      <c r="J16" s="44">
        <f>'Raw - Workforce'!C95-'Raw - Workforce'!E95</f>
        <v>-8.2583333333330131</v>
      </c>
      <c r="K16" s="43">
        <f>IFERROR('Raw - Workforce'!K95/'Raw - Workforce'!G95,0)</f>
        <v>7.9624755228780306E-2</v>
      </c>
    </row>
    <row r="17" spans="1:11" x14ac:dyDescent="0.75">
      <c r="A17" s="2" t="str">
        <f>'Raw - Workforce'!A39</f>
        <v>Location 2</v>
      </c>
      <c r="B17" s="2" t="str">
        <f>'Raw - Workforce'!B39</f>
        <v>Position L</v>
      </c>
      <c r="C17" s="29">
        <f>'Raw - Workforce'!G39+'Raw - Workforce'!K39</f>
        <v>336023.19322161231</v>
      </c>
      <c r="D17" s="29">
        <f>'Raw - Workforce'!H39+'Raw - Workforce'!L39</f>
        <v>337174.23403195129</v>
      </c>
      <c r="E17" s="29">
        <f>'Raw - Workforce'!I39+'Raw - Workforce'!M39</f>
        <v>380200.13952242333</v>
      </c>
      <c r="F17" s="29">
        <f>'Raw - Workforce'!J39+'Raw - Workforce'!N39</f>
        <v>332506.43</v>
      </c>
      <c r="G17" s="29">
        <f>C17-E17</f>
        <v>-44176.946300811018</v>
      </c>
      <c r="H17" s="43">
        <f>IFERROR(G17/E17,0)</f>
        <v>-0.11619392448488453</v>
      </c>
      <c r="I17" s="29">
        <f>C17-D17</f>
        <v>-1151.0408103389782</v>
      </c>
      <c r="J17" s="44">
        <f>'Raw - Workforce'!C39-'Raw - Workforce'!E39</f>
        <v>-19.189999999999998</v>
      </c>
      <c r="K17" s="43">
        <f>IFERROR('Raw - Workforce'!K39/'Raw - Workforce'!G39,0)</f>
        <v>5.6109793840728887E-2</v>
      </c>
    </row>
    <row r="18" spans="1:11" x14ac:dyDescent="0.75">
      <c r="A18" s="2" t="str">
        <f>'Raw - Workforce'!A31</f>
        <v>Location 2</v>
      </c>
      <c r="B18" s="2" t="str">
        <f>'Raw - Workforce'!B31</f>
        <v>Position D</v>
      </c>
      <c r="C18" s="29">
        <f>'Raw - Workforce'!G31+'Raw - Workforce'!K31</f>
        <v>84744.858981332436</v>
      </c>
      <c r="D18" s="29">
        <f>'Raw - Workforce'!H31+'Raw - Workforce'!L31</f>
        <v>79136.858981332436</v>
      </c>
      <c r="E18" s="29">
        <f>'Raw - Workforce'!I31+'Raw - Workforce'!M31</f>
        <v>121165.07105792844</v>
      </c>
      <c r="F18" s="29">
        <f>'Raw - Workforce'!J31+'Raw - Workforce'!N31</f>
        <v>118985.56</v>
      </c>
      <c r="G18" s="29">
        <f>C18-E18</f>
        <v>-36420.212076595999</v>
      </c>
      <c r="H18" s="43">
        <f>IFERROR(G18/E18,0)</f>
        <v>-0.3005834252280814</v>
      </c>
      <c r="I18" s="29">
        <f>C18-D18</f>
        <v>5608</v>
      </c>
      <c r="J18" s="44">
        <f>'Raw - Workforce'!C31-'Raw - Workforce'!E31</f>
        <v>-16.270000000000003</v>
      </c>
      <c r="K18" s="43">
        <f>IFERROR('Raw - Workforce'!K31/'Raw - Workforce'!G31,0)</f>
        <v>9.9012566221403572E-2</v>
      </c>
    </row>
    <row r="19" spans="1:11" x14ac:dyDescent="0.75">
      <c r="A19" s="2" t="str">
        <f>'Raw - Workforce'!A100</f>
        <v>Location 4</v>
      </c>
      <c r="B19" s="2" t="str">
        <f>'Raw - Workforce'!B100</f>
        <v>Position U</v>
      </c>
      <c r="C19" s="29">
        <f>'Raw - Workforce'!G100+'Raw - Workforce'!K100</f>
        <v>337062.550965184</v>
      </c>
      <c r="D19" s="29">
        <f>'Raw - Workforce'!H100+'Raw - Workforce'!L100</f>
        <v>337760.550965184</v>
      </c>
      <c r="E19" s="29">
        <f>'Raw - Workforce'!I100+'Raw - Workforce'!M100</f>
        <v>369062.550965184</v>
      </c>
      <c r="F19" s="29">
        <f>'Raw - Workforce'!J100+'Raw - Workforce'!N100</f>
        <v>361260.55</v>
      </c>
      <c r="G19" s="29">
        <f>C19-E19</f>
        <v>-32000</v>
      </c>
      <c r="H19" s="43">
        <f>IFERROR(G19/E19,0)</f>
        <v>-8.6706169228800353E-2</v>
      </c>
      <c r="I19" s="29">
        <f>C19-D19</f>
        <v>-698</v>
      </c>
      <c r="J19" s="44">
        <f>'Raw - Workforce'!C100-'Raw - Workforce'!E100</f>
        <v>0.60000000000000142</v>
      </c>
      <c r="K19" s="43">
        <f>IFERROR('Raw - Workforce'!K100/'Raw - Workforce'!G100,0)</f>
        <v>0</v>
      </c>
    </row>
    <row r="20" spans="1:11" x14ac:dyDescent="0.75">
      <c r="A20" s="2" t="str">
        <f>'Raw - Workforce'!A24</f>
        <v>Location 1</v>
      </c>
      <c r="B20" s="2" t="str">
        <f>'Raw - Workforce'!B24</f>
        <v>Position W</v>
      </c>
      <c r="C20" s="29">
        <f>'Raw - Workforce'!G24+'Raw - Workforce'!K24</f>
        <v>-3.6379788070917101E-12</v>
      </c>
      <c r="D20" s="29">
        <f>'Raw - Workforce'!H24+'Raw - Workforce'!L24</f>
        <v>-3.6379788070917101E-12</v>
      </c>
      <c r="E20" s="29">
        <f>'Raw - Workforce'!I24+'Raw - Workforce'!M24</f>
        <v>31615.827491095901</v>
      </c>
      <c r="F20" s="29">
        <f>'Raw - Workforce'!J24+'Raw - Workforce'!N24</f>
        <v>88800.08</v>
      </c>
      <c r="G20" s="29">
        <f>C20-E20</f>
        <v>-31615.827491095904</v>
      </c>
      <c r="H20" s="43">
        <f>IFERROR(G20/E20,0)</f>
        <v>-1.0000000000000002</v>
      </c>
      <c r="I20" s="29">
        <f>C20-D20</f>
        <v>0</v>
      </c>
      <c r="J20" s="44">
        <f>'Raw - Workforce'!C24-'Raw - Workforce'!E24</f>
        <v>-0.5</v>
      </c>
      <c r="K20" s="43">
        <f>IFERROR('Raw - Workforce'!K24/'Raw - Workforce'!G24,0)</f>
        <v>0</v>
      </c>
    </row>
    <row r="21" spans="1:11" x14ac:dyDescent="0.75">
      <c r="A21" s="2" t="str">
        <f>'Raw - Workforce'!A73</f>
        <v>Location 3</v>
      </c>
      <c r="B21" s="2" t="str">
        <f>'Raw - Workforce'!B73</f>
        <v>Position T</v>
      </c>
      <c r="C21" s="29">
        <f>'Raw - Workforce'!G73+'Raw - Workforce'!K73</f>
        <v>1681988.1563207819</v>
      </c>
      <c r="D21" s="29">
        <f>'Raw - Workforce'!H73+'Raw - Workforce'!L73</f>
        <v>1717285.7058726049</v>
      </c>
      <c r="E21" s="29">
        <f>'Raw - Workforce'!I73+'Raw - Workforce'!M73</f>
        <v>1712862.5388718022</v>
      </c>
      <c r="F21" s="29">
        <f>'Raw - Workforce'!J73+'Raw - Workforce'!N73</f>
        <v>1646222.99</v>
      </c>
      <c r="G21" s="29">
        <f>C21-E21</f>
        <v>-30874.382551020244</v>
      </c>
      <c r="H21" s="43">
        <f>IFERROR(G21/E21,0)</f>
        <v>-1.8025020601685898E-2</v>
      </c>
      <c r="I21" s="29">
        <f>C21-D21</f>
        <v>-35297.549551822944</v>
      </c>
      <c r="J21" s="44">
        <f>'Raw - Workforce'!C73-'Raw - Workforce'!E73</f>
        <v>4.4330119306450229</v>
      </c>
      <c r="K21" s="43">
        <f>IFERROR('Raw - Workforce'!K73/'Raw - Workforce'!G73,0)</f>
        <v>8.0812795583580607E-2</v>
      </c>
    </row>
    <row r="22" spans="1:11" x14ac:dyDescent="0.75">
      <c r="A22" s="2" t="str">
        <f>'Raw - Workforce'!A16</f>
        <v>Location 1</v>
      </c>
      <c r="B22" s="2" t="str">
        <f>'Raw - Workforce'!B16</f>
        <v>Position O</v>
      </c>
      <c r="C22" s="29">
        <f>'Raw - Workforce'!G16+'Raw - Workforce'!K16</f>
        <v>157550.22219543569</v>
      </c>
      <c r="D22" s="29">
        <f>'Raw - Workforce'!H16+'Raw - Workforce'!L16</f>
        <v>157550.22219543569</v>
      </c>
      <c r="E22" s="29">
        <f>'Raw - Workforce'!I16+'Raw - Workforce'!M16</f>
        <v>187654.9031884927</v>
      </c>
      <c r="F22" s="29">
        <f>'Raw - Workforce'!J16+'Raw - Workforce'!N16</f>
        <v>179832.32000000001</v>
      </c>
      <c r="G22" s="29">
        <f>C22-E22</f>
        <v>-30104.680993057002</v>
      </c>
      <c r="H22" s="43">
        <f>IFERROR(G22/E22,0)</f>
        <v>-0.16042576283134963</v>
      </c>
      <c r="I22" s="29">
        <f>C22-D22</f>
        <v>0</v>
      </c>
      <c r="J22" s="44">
        <f>'Raw - Workforce'!C16-'Raw - Workforce'!E16</f>
        <v>-10.713423456444801</v>
      </c>
      <c r="K22" s="43">
        <f>IFERROR('Raw - Workforce'!K16/'Raw - Workforce'!G16,0)</f>
        <v>0.22645103360348554</v>
      </c>
    </row>
    <row r="23" spans="1:11" x14ac:dyDescent="0.75">
      <c r="A23" s="2" t="str">
        <f>'Raw - Workforce'!A57</f>
        <v>Location 3</v>
      </c>
      <c r="B23" s="2" t="str">
        <f>'Raw - Workforce'!B57</f>
        <v>Position D</v>
      </c>
      <c r="C23" s="29">
        <f>'Raw - Workforce'!G57+'Raw - Workforce'!K57</f>
        <v>0</v>
      </c>
      <c r="D23" s="29">
        <f>'Raw - Workforce'!H57+'Raw - Workforce'!L57</f>
        <v>0</v>
      </c>
      <c r="E23" s="29">
        <f>'Raw - Workforce'!I57+'Raw - Workforce'!M57</f>
        <v>30047.74250351929</v>
      </c>
      <c r="F23" s="29">
        <f>'Raw - Workforce'!J57+'Raw - Workforce'!N57</f>
        <v>10975.15</v>
      </c>
      <c r="G23" s="29">
        <f>C23-E23</f>
        <v>-30047.74250351929</v>
      </c>
      <c r="H23" s="43">
        <f>IFERROR(G23/E23,0)</f>
        <v>-1</v>
      </c>
      <c r="I23" s="29">
        <f>C23-D23</f>
        <v>0</v>
      </c>
      <c r="J23" s="44">
        <f>'Raw - Workforce'!C57-'Raw - Workforce'!E57</f>
        <v>-8.5</v>
      </c>
      <c r="K23" s="43">
        <f>IFERROR('Raw - Workforce'!K57/'Raw - Workforce'!G57,0)</f>
        <v>0</v>
      </c>
    </row>
    <row r="24" spans="1:11" x14ac:dyDescent="0.75">
      <c r="A24" s="2" t="str">
        <f>'Raw - Workforce'!A52</f>
        <v>Location 2</v>
      </c>
      <c r="B24" s="2" t="str">
        <f>'Raw - Workforce'!B52</f>
        <v>Position Y</v>
      </c>
      <c r="C24" s="29">
        <f>'Raw - Workforce'!G52+'Raw - Workforce'!K52</f>
        <v>154633.49421122001</v>
      </c>
      <c r="D24" s="29">
        <f>'Raw - Workforce'!H52+'Raw - Workforce'!L52</f>
        <v>154633.49421122001</v>
      </c>
      <c r="E24" s="29">
        <f>'Raw - Workforce'!I52+'Raw - Workforce'!M52</f>
        <v>183627.274375824</v>
      </c>
      <c r="F24" s="29">
        <f>'Raw - Workforce'!J52+'Raw - Workforce'!N52</f>
        <v>0</v>
      </c>
      <c r="G24" s="29">
        <f>C24-E24</f>
        <v>-28993.780164603988</v>
      </c>
      <c r="H24" s="43">
        <f>IFERROR(G24/E24,0)</f>
        <v>-0.15789473684210634</v>
      </c>
      <c r="I24" s="29">
        <f>C24-D24</f>
        <v>0</v>
      </c>
      <c r="J24" s="44">
        <f>'Raw - Workforce'!C52-'Raw - Workforce'!E52</f>
        <v>-3</v>
      </c>
      <c r="K24" s="43">
        <f>IFERROR('Raw - Workforce'!K52/'Raw - Workforce'!G52,0)</f>
        <v>0</v>
      </c>
    </row>
    <row r="25" spans="1:11" x14ac:dyDescent="0.75">
      <c r="A25" s="2" t="str">
        <f>'Raw - Workforce'!A3</f>
        <v>Location 1</v>
      </c>
      <c r="B25" s="2" t="str">
        <f>'Raw - Workforce'!B3</f>
        <v>Position B</v>
      </c>
      <c r="C25" s="29">
        <f>'Raw - Workforce'!G3+'Raw - Workforce'!K3</f>
        <v>1650150.973046819</v>
      </c>
      <c r="D25" s="29">
        <f>'Raw - Workforce'!H3+'Raw - Workforce'!L3</f>
        <v>1673096.8227050588</v>
      </c>
      <c r="E25" s="29">
        <f>'Raw - Workforce'!I3+'Raw - Workforce'!M3</f>
        <v>1678200.4101032701</v>
      </c>
      <c r="F25" s="29">
        <f>'Raw - Workforce'!J3+'Raw - Workforce'!N3</f>
        <v>1469307.83</v>
      </c>
      <c r="G25" s="29">
        <f>C25-E25</f>
        <v>-28049.437056451105</v>
      </c>
      <c r="H25" s="43">
        <f>IFERROR(G25/E25,0)</f>
        <v>-1.6713997260151454E-2</v>
      </c>
      <c r="I25" s="29">
        <f>C25-D25</f>
        <v>-22945.849658239866</v>
      </c>
      <c r="J25" s="44">
        <f>'Raw - Workforce'!C3-'Raw - Workforce'!E3</f>
        <v>-44.67327786813803</v>
      </c>
      <c r="K25" s="43">
        <f>IFERROR('Raw - Workforce'!K3/'Raw - Workforce'!G3,0)</f>
        <v>0.21106855472059705</v>
      </c>
    </row>
    <row r="26" spans="1:11" x14ac:dyDescent="0.75">
      <c r="A26" s="2" t="str">
        <f>'Raw - Workforce'!A33</f>
        <v>Location 2</v>
      </c>
      <c r="B26" s="2" t="str">
        <f>'Raw - Workforce'!B33</f>
        <v>Position F</v>
      </c>
      <c r="C26" s="29">
        <f>'Raw - Workforce'!G33+'Raw - Workforce'!K33</f>
        <v>44224.195628777808</v>
      </c>
      <c r="D26" s="29">
        <f>'Raw - Workforce'!H33+'Raw - Workforce'!L33</f>
        <v>44224.195628777808</v>
      </c>
      <c r="E26" s="29">
        <f>'Raw - Workforce'!I33+'Raw - Workforce'!M33</f>
        <v>70518.74830630522</v>
      </c>
      <c r="F26" s="29">
        <f>'Raw - Workforce'!J33+'Raw - Workforce'!N33</f>
        <v>66201.63</v>
      </c>
      <c r="G26" s="29">
        <f>C26-E26</f>
        <v>-26294.552677527412</v>
      </c>
      <c r="H26" s="43">
        <f>IFERROR(G26/E26,0)</f>
        <v>-0.37287321895326897</v>
      </c>
      <c r="I26" s="29">
        <f>C26-D26</f>
        <v>0</v>
      </c>
      <c r="J26" s="44">
        <f>'Raw - Workforce'!C33-'Raw - Workforce'!E33</f>
        <v>-10.86</v>
      </c>
      <c r="K26" s="43">
        <f>IFERROR('Raw - Workforce'!K33/'Raw - Workforce'!G33,0)</f>
        <v>0.11034535083747317</v>
      </c>
    </row>
    <row r="27" spans="1:11" x14ac:dyDescent="0.75">
      <c r="A27" s="2" t="str">
        <f>'Raw - Workforce'!A23</f>
        <v>Location 1</v>
      </c>
      <c r="B27" s="2" t="str">
        <f>'Raw - Workforce'!B23</f>
        <v>Position V</v>
      </c>
      <c r="C27" s="29">
        <f>'Raw - Workforce'!G23+'Raw - Workforce'!K23</f>
        <v>160650.25064264543</v>
      </c>
      <c r="D27" s="29">
        <f>'Raw - Workforce'!H23+'Raw - Workforce'!L23</f>
        <v>160650.25064264543</v>
      </c>
      <c r="E27" s="29">
        <f>'Raw - Workforce'!I23+'Raw - Workforce'!M23</f>
        <v>186792.56570000001</v>
      </c>
      <c r="F27" s="29">
        <f>'Raw - Workforce'!J23+'Raw - Workforce'!N23</f>
        <v>149000.29999999999</v>
      </c>
      <c r="G27" s="29">
        <f>C27-E27</f>
        <v>-26142.315057354572</v>
      </c>
      <c r="H27" s="43">
        <f>IFERROR(G27/E27,0)</f>
        <v>-0.13995372331541656</v>
      </c>
      <c r="I27" s="29">
        <f>C27-D27</f>
        <v>0</v>
      </c>
      <c r="J27" s="44">
        <f>'Raw - Workforce'!C23-'Raw - Workforce'!E23</f>
        <v>0</v>
      </c>
      <c r="K27" s="43">
        <f>IFERROR('Raw - Workforce'!K23/'Raw - Workforce'!G23,0)</f>
        <v>-1.6195800754747569E-3</v>
      </c>
    </row>
    <row r="28" spans="1:11" x14ac:dyDescent="0.75">
      <c r="A28" s="2" t="str">
        <f>'Raw - Workforce'!A2</f>
        <v>Location 1</v>
      </c>
      <c r="B28" s="2" t="str">
        <f>'Raw - Workforce'!B2</f>
        <v>Position A</v>
      </c>
      <c r="C28" s="29">
        <f>'Raw - Workforce'!G2+'Raw - Workforce'!K2</f>
        <v>1314625.2174961669</v>
      </c>
      <c r="D28" s="29">
        <f>'Raw - Workforce'!H2+'Raw - Workforce'!L2</f>
        <v>1318388.6237153071</v>
      </c>
      <c r="E28" s="29">
        <f>'Raw - Workforce'!I2+'Raw - Workforce'!M2</f>
        <v>1339965.3795106241</v>
      </c>
      <c r="F28" s="29">
        <f>'Raw - Workforce'!J2+'Raw - Workforce'!N2</f>
        <v>1283926.8700000001</v>
      </c>
      <c r="G28" s="29">
        <f>C28-E28</f>
        <v>-25340.162014457164</v>
      </c>
      <c r="H28" s="43">
        <f>IFERROR(G28/E28,0)</f>
        <v>-1.8911057257100017E-2</v>
      </c>
      <c r="I28" s="29">
        <f>C28-D28</f>
        <v>-3763.4062191401608</v>
      </c>
      <c r="J28" s="44">
        <f>'Raw - Workforce'!C2-'Raw - Workforce'!E2</f>
        <v>-17.286202056489003</v>
      </c>
      <c r="K28" s="43">
        <f>IFERROR('Raw - Workforce'!K2/'Raw - Workforce'!G2,0)</f>
        <v>0.1832170167014186</v>
      </c>
    </row>
    <row r="29" spans="1:11" x14ac:dyDescent="0.75">
      <c r="A29" s="2" t="str">
        <f>'Raw - Workforce'!A88</f>
        <v>Location 4</v>
      </c>
      <c r="B29" s="2" t="str">
        <f>'Raw - Workforce'!B88</f>
        <v>Position I</v>
      </c>
      <c r="C29" s="29">
        <f>'Raw - Workforce'!G88+'Raw - Workforce'!K88</f>
        <v>351680.68101553502</v>
      </c>
      <c r="D29" s="29">
        <f>'Raw - Workforce'!H88+'Raw - Workforce'!L88</f>
        <v>356280.68101553502</v>
      </c>
      <c r="E29" s="29">
        <f>'Raw - Workforce'!I88+'Raw - Workforce'!M88</f>
        <v>375851.68101553502</v>
      </c>
      <c r="F29" s="29">
        <f>'Raw - Workforce'!J88+'Raw - Workforce'!N88</f>
        <v>359971.02</v>
      </c>
      <c r="G29" s="29">
        <f>C29-E29</f>
        <v>-24171</v>
      </c>
      <c r="H29" s="43">
        <f>IFERROR(G29/E29,0)</f>
        <v>-6.4309942514267859E-2</v>
      </c>
      <c r="I29" s="29">
        <f>C29-D29</f>
        <v>-4600</v>
      </c>
      <c r="J29" s="44">
        <f>'Raw - Workforce'!C88-'Raw - Workforce'!E88</f>
        <v>-9.5</v>
      </c>
      <c r="K29" s="43">
        <f>IFERROR('Raw - Workforce'!K88/'Raw - Workforce'!G88,0)</f>
        <v>9.7540752608166928E-2</v>
      </c>
    </row>
    <row r="30" spans="1:11" x14ac:dyDescent="0.75">
      <c r="A30" s="2" t="str">
        <f>'Raw - Workforce'!A50</f>
        <v>Location 2</v>
      </c>
      <c r="B30" s="2" t="str">
        <f>'Raw - Workforce'!B50</f>
        <v>Position W</v>
      </c>
      <c r="C30" s="29">
        <f>'Raw - Workforce'!G50+'Raw - Workforce'!K50</f>
        <v>13841.6846689958</v>
      </c>
      <c r="D30" s="29">
        <f>'Raw - Workforce'!H50+'Raw - Workforce'!L50</f>
        <v>941.68466899580733</v>
      </c>
      <c r="E30" s="29">
        <f>'Raw - Workforce'!I50+'Raw - Workforce'!M50</f>
        <v>35400.470112842893</v>
      </c>
      <c r="F30" s="29">
        <f>'Raw - Workforce'!J50+'Raw - Workforce'!N50</f>
        <v>48138.020000000004</v>
      </c>
      <c r="G30" s="29">
        <f>C30-E30</f>
        <v>-21558.785443847093</v>
      </c>
      <c r="H30" s="43">
        <f>IFERROR(G30/E30,0)</f>
        <v>-0.60899715103008778</v>
      </c>
      <c r="I30" s="29">
        <f>C30-D30</f>
        <v>12899.999999999993</v>
      </c>
      <c r="J30" s="44">
        <f>'Raw - Workforce'!C50-'Raw - Workforce'!E50</f>
        <v>-6.34</v>
      </c>
      <c r="K30" s="43">
        <f>IFERROR('Raw - Workforce'!K50/'Raw - Workforce'!G50,0)</f>
        <v>7.299881155006202E-2</v>
      </c>
    </row>
    <row r="31" spans="1:11" x14ac:dyDescent="0.75">
      <c r="A31" s="2" t="str">
        <f>'Raw - Workforce'!A7</f>
        <v>Location 1</v>
      </c>
      <c r="B31" s="2" t="str">
        <f>'Raw - Workforce'!B7</f>
        <v>Position F</v>
      </c>
      <c r="C31" s="29">
        <f>'Raw - Workforce'!G7+'Raw - Workforce'!K7</f>
        <v>87904.330119999999</v>
      </c>
      <c r="D31" s="29">
        <f>'Raw - Workforce'!H7+'Raw - Workforce'!L7</f>
        <v>90845.556288416701</v>
      </c>
      <c r="E31" s="29">
        <f>'Raw - Workforce'!I7+'Raw - Workforce'!M7</f>
        <v>107694.18031670779</v>
      </c>
      <c r="F31" s="29">
        <f>'Raw - Workforce'!J7+'Raw - Workforce'!N7</f>
        <v>55439.6</v>
      </c>
      <c r="G31" s="29">
        <f>C31-E31</f>
        <v>-19789.85019670779</v>
      </c>
      <c r="H31" s="43">
        <f>IFERROR(G31/E31,0)</f>
        <v>-0.18375969934967387</v>
      </c>
      <c r="I31" s="29">
        <f>C31-D31</f>
        <v>-2941.2261684167024</v>
      </c>
      <c r="J31" s="44">
        <f>'Raw - Workforce'!C7-'Raw - Workforce'!E7</f>
        <v>-3.8999999999999986</v>
      </c>
      <c r="K31" s="43">
        <f>IFERROR('Raw - Workforce'!K7/'Raw - Workforce'!G7,0)</f>
        <v>0.14639950429303475</v>
      </c>
    </row>
    <row r="32" spans="1:11" x14ac:dyDescent="0.75">
      <c r="A32" s="2" t="str">
        <f>'Raw - Workforce'!A43</f>
        <v>Location 2</v>
      </c>
      <c r="B32" s="2" t="str">
        <f>'Raw - Workforce'!B43</f>
        <v>Position P</v>
      </c>
      <c r="C32" s="29">
        <f>'Raw - Workforce'!G43+'Raw - Workforce'!K43</f>
        <v>407779.44165092631</v>
      </c>
      <c r="D32" s="29">
        <f>'Raw - Workforce'!H43+'Raw - Workforce'!L43</f>
        <v>411869.41268986627</v>
      </c>
      <c r="E32" s="29">
        <f>'Raw - Workforce'!I43+'Raw - Workforce'!M43</f>
        <v>424795.7981611783</v>
      </c>
      <c r="F32" s="29">
        <f>'Raw - Workforce'!J43+'Raw - Workforce'!N43</f>
        <v>430909.74</v>
      </c>
      <c r="G32" s="29">
        <f>C32-E32</f>
        <v>-17016.356510251993</v>
      </c>
      <c r="H32" s="43">
        <f>IFERROR(G32/E32,0)</f>
        <v>-4.005773264215659E-2</v>
      </c>
      <c r="I32" s="29">
        <f>C32-D32</f>
        <v>-4089.9710389399552</v>
      </c>
      <c r="J32" s="44">
        <f>'Raw - Workforce'!C43-'Raw - Workforce'!E43</f>
        <v>-8.0315063763180063</v>
      </c>
      <c r="K32" s="43">
        <f>IFERROR('Raw - Workforce'!K43/'Raw - Workforce'!G43,0)</f>
        <v>0.12912833737410667</v>
      </c>
    </row>
    <row r="33" spans="1:11" x14ac:dyDescent="0.75">
      <c r="A33" s="2" t="str">
        <f>'Raw - Workforce'!A87</f>
        <v>Location 4</v>
      </c>
      <c r="B33" s="2" t="str">
        <f>'Raw - Workforce'!B87</f>
        <v>Position H</v>
      </c>
      <c r="C33" s="29">
        <f>'Raw - Workforce'!G87+'Raw - Workforce'!K87</f>
        <v>1119106.7726743999</v>
      </c>
      <c r="D33" s="29">
        <f>'Raw - Workforce'!H87+'Raw - Workforce'!L87</f>
        <v>1139106.7726743999</v>
      </c>
      <c r="E33" s="29">
        <f>'Raw - Workforce'!I87+'Raw - Workforce'!M87</f>
        <v>1136024.7726743999</v>
      </c>
      <c r="F33" s="29">
        <f>'Raw - Workforce'!J87+'Raw - Workforce'!N87</f>
        <v>987809.41</v>
      </c>
      <c r="G33" s="29">
        <f>C33-E33</f>
        <v>-16918</v>
      </c>
      <c r="H33" s="43">
        <f>IFERROR(G33/E33,0)</f>
        <v>-1.4892280878850982E-2</v>
      </c>
      <c r="I33" s="29">
        <f>C33-D33</f>
        <v>-20000</v>
      </c>
      <c r="J33" s="44">
        <f>'Raw - Workforce'!C87-'Raw - Workforce'!E87</f>
        <v>-11.600000000000023</v>
      </c>
      <c r="K33" s="43">
        <f>IFERROR('Raw - Workforce'!K87/'Raw - Workforce'!G87,0)</f>
        <v>7.0535697544578918E-2</v>
      </c>
    </row>
    <row r="34" spans="1:11" x14ac:dyDescent="0.75">
      <c r="A34" s="2" t="str">
        <f>'Raw - Workforce'!A97</f>
        <v>Location 4</v>
      </c>
      <c r="B34" s="2" t="str">
        <f>'Raw - Workforce'!B97</f>
        <v>Position R</v>
      </c>
      <c r="C34" s="29">
        <f>'Raw - Workforce'!G97+'Raw - Workforce'!K97</f>
        <v>262229.54067482997</v>
      </c>
      <c r="D34" s="29">
        <f>'Raw - Workforce'!H97+'Raw - Workforce'!L97</f>
        <v>269229.54067482898</v>
      </c>
      <c r="E34" s="29">
        <f>'Raw - Workforce'!I97+'Raw - Workforce'!M97</f>
        <v>273446.68614300399</v>
      </c>
      <c r="F34" s="29">
        <f>'Raw - Workforce'!J97+'Raw - Workforce'!N97</f>
        <v>182320.05000000002</v>
      </c>
      <c r="G34" s="29">
        <f>C34-E34</f>
        <v>-11217.145468174014</v>
      </c>
      <c r="H34" s="43">
        <f>IFERROR(G34/E34,0)</f>
        <v>-4.1021325313512123E-2</v>
      </c>
      <c r="I34" s="29">
        <f>C34-D34</f>
        <v>-6999.9999999990105</v>
      </c>
      <c r="J34" s="44">
        <f>'Raw - Workforce'!C97-'Raw - Workforce'!E97</f>
        <v>-4.0099999999999909</v>
      </c>
      <c r="K34" s="43">
        <f>IFERROR('Raw - Workforce'!K97/'Raw - Workforce'!G97,0)</f>
        <v>4.8245222077534483E-2</v>
      </c>
    </row>
    <row r="35" spans="1:11" x14ac:dyDescent="0.75">
      <c r="A35" s="2" t="str">
        <f>'Raw - Workforce'!A103</f>
        <v>Location 4</v>
      </c>
      <c r="B35" s="2" t="str">
        <f>'Raw - Workforce'!B103</f>
        <v>Position X</v>
      </c>
      <c r="C35" s="29">
        <f>'Raw - Workforce'!G103+'Raw - Workforce'!K103</f>
        <v>1136975.6428854701</v>
      </c>
      <c r="D35" s="29">
        <f>'Raw - Workforce'!H103+'Raw - Workforce'!L103</f>
        <v>1136975.6428854701</v>
      </c>
      <c r="E35" s="29">
        <f>'Raw - Workforce'!I103+'Raw - Workforce'!M103</f>
        <v>1147522.6428854701</v>
      </c>
      <c r="F35" s="29">
        <f>'Raw - Workforce'!J103+'Raw - Workforce'!N103</f>
        <v>936301.12</v>
      </c>
      <c r="G35" s="29">
        <f>C35-E35</f>
        <v>-10547</v>
      </c>
      <c r="H35" s="43">
        <f>IFERROR(G35/E35,0)</f>
        <v>-9.1911040408573941E-3</v>
      </c>
      <c r="I35" s="29">
        <f>C35-D35</f>
        <v>0</v>
      </c>
      <c r="J35" s="44">
        <f>'Raw - Workforce'!C103-'Raw - Workforce'!E103</f>
        <v>-2.0999999999999943</v>
      </c>
      <c r="K35" s="43">
        <f>IFERROR('Raw - Workforce'!K103/'Raw - Workforce'!G103,0)</f>
        <v>0</v>
      </c>
    </row>
    <row r="36" spans="1:11" x14ac:dyDescent="0.75">
      <c r="A36" s="2" t="str">
        <f>'Raw - Workforce'!A10</f>
        <v>Location 1</v>
      </c>
      <c r="B36" s="2" t="str">
        <f>'Raw - Workforce'!B10</f>
        <v>Position I</v>
      </c>
      <c r="C36" s="29">
        <f>'Raw - Workforce'!G10+'Raw - Workforce'!K10</f>
        <v>334192.45340024121</v>
      </c>
      <c r="D36" s="29">
        <f>'Raw - Workforce'!H10+'Raw - Workforce'!L10</f>
        <v>334192.45340024121</v>
      </c>
      <c r="E36" s="29">
        <f>'Raw - Workforce'!I10+'Raw - Workforce'!M10</f>
        <v>343557.17630340945</v>
      </c>
      <c r="F36" s="29">
        <f>'Raw - Workforce'!J10+'Raw - Workforce'!N10</f>
        <v>333783.59999999998</v>
      </c>
      <c r="G36" s="29">
        <f>C36-E36</f>
        <v>-9364.7229031682364</v>
      </c>
      <c r="H36" s="43">
        <f>IFERROR(G36/E36,0)</f>
        <v>-2.7258120479188783E-2</v>
      </c>
      <c r="I36" s="29">
        <f>C36-D36</f>
        <v>0</v>
      </c>
      <c r="J36" s="44">
        <f>'Raw - Workforce'!C10-'Raw - Workforce'!E10</f>
        <v>2.25</v>
      </c>
      <c r="K36" s="43">
        <f>IFERROR('Raw - Workforce'!K10/'Raw - Workforce'!G10,0)</f>
        <v>0.15324712995110423</v>
      </c>
    </row>
    <row r="37" spans="1:11" x14ac:dyDescent="0.75">
      <c r="A37" s="2" t="str">
        <f>'Raw - Workforce'!A21</f>
        <v>Location 1</v>
      </c>
      <c r="B37" s="2" t="str">
        <f>'Raw - Workforce'!B21</f>
        <v>Position T</v>
      </c>
      <c r="C37" s="29">
        <f>'Raw - Workforce'!G21+'Raw - Workforce'!K21</f>
        <v>1201881.0526546391</v>
      </c>
      <c r="D37" s="29">
        <f>'Raw - Workforce'!H21+'Raw - Workforce'!L21</f>
        <v>1201881.0526546391</v>
      </c>
      <c r="E37" s="29">
        <f>'Raw - Workforce'!I21+'Raw - Workforce'!M21</f>
        <v>1210884.4664695093</v>
      </c>
      <c r="F37" s="29">
        <f>'Raw - Workforce'!J21+'Raw - Workforce'!N21</f>
        <v>1213868.8799999999</v>
      </c>
      <c r="G37" s="29">
        <f>C37-E37</f>
        <v>-9003.413814870175</v>
      </c>
      <c r="H37" s="43">
        <f>IFERROR(G37/E37,0)</f>
        <v>-7.4354028515377655E-3</v>
      </c>
      <c r="I37" s="29">
        <f>C37-D37</f>
        <v>0</v>
      </c>
      <c r="J37" s="44">
        <f>'Raw - Workforce'!C21-'Raw - Workforce'!E21</f>
        <v>-9.8067154272069956</v>
      </c>
      <c r="K37" s="43">
        <f>IFERROR('Raw - Workforce'!K21/'Raw - Workforce'!G21,0)</f>
        <v>0.10111883499639704</v>
      </c>
    </row>
    <row r="38" spans="1:11" x14ac:dyDescent="0.75">
      <c r="A38" s="2" t="str">
        <f>'Raw - Workforce'!A101</f>
        <v>Location 4</v>
      </c>
      <c r="B38" s="2" t="str">
        <f>'Raw - Workforce'!B101</f>
        <v>Position V</v>
      </c>
      <c r="C38" s="29">
        <f>'Raw - Workforce'!G101+'Raw - Workforce'!K101</f>
        <v>196135.158075532</v>
      </c>
      <c r="D38" s="29">
        <f>'Raw - Workforce'!H101+'Raw - Workforce'!L101</f>
        <v>196135.158075532</v>
      </c>
      <c r="E38" s="29">
        <f>'Raw - Workforce'!I101+'Raw - Workforce'!M101</f>
        <v>203622.158075532</v>
      </c>
      <c r="F38" s="29">
        <f>'Raw - Workforce'!J101+'Raw - Workforce'!N101</f>
        <v>199587.02</v>
      </c>
      <c r="G38" s="29">
        <f>C38-E38</f>
        <v>-7487</v>
      </c>
      <c r="H38" s="43">
        <f>IFERROR(G38/E38,0)</f>
        <v>-3.6769082848158191E-2</v>
      </c>
      <c r="I38" s="29">
        <f>C38-D38</f>
        <v>0</v>
      </c>
      <c r="J38" s="44">
        <f>'Raw - Workforce'!C101-'Raw - Workforce'!E101</f>
        <v>0</v>
      </c>
      <c r="K38" s="43">
        <f>IFERROR('Raw - Workforce'!K101/'Raw - Workforce'!G101,0)</f>
        <v>0</v>
      </c>
    </row>
    <row r="39" spans="1:11" x14ac:dyDescent="0.75">
      <c r="A39" s="2" t="str">
        <f>'Raw - Workforce'!A85</f>
        <v>Location 4</v>
      </c>
      <c r="B39" s="2" t="str">
        <f>'Raw - Workforce'!B85</f>
        <v>Position F</v>
      </c>
      <c r="C39" s="29">
        <f>'Raw - Workforce'!G85+'Raw - Workforce'!K85</f>
        <v>196337.371098</v>
      </c>
      <c r="D39" s="29">
        <f>'Raw - Workforce'!H85+'Raw - Workforce'!L85</f>
        <v>188708.31540275301</v>
      </c>
      <c r="E39" s="29">
        <f>'Raw - Workforce'!I85+'Raw - Workforce'!M85</f>
        <v>203337.371098</v>
      </c>
      <c r="F39" s="29">
        <f>'Raw - Workforce'!J85+'Raw - Workforce'!N85</f>
        <v>244749.30000000002</v>
      </c>
      <c r="G39" s="29">
        <f>C39-E39</f>
        <v>-7000</v>
      </c>
      <c r="H39" s="43">
        <f>IFERROR(G39/E39,0)</f>
        <v>-3.4425545890559864E-2</v>
      </c>
      <c r="I39" s="29">
        <f>C39-D39</f>
        <v>7629.0556952469924</v>
      </c>
      <c r="J39" s="44">
        <f>'Raw - Workforce'!C85-'Raw - Workforce'!E85</f>
        <v>-1.7000000000000028</v>
      </c>
      <c r="K39" s="43">
        <f>IFERROR('Raw - Workforce'!K85/'Raw - Workforce'!G85,0)</f>
        <v>0.11757570067867353</v>
      </c>
    </row>
    <row r="40" spans="1:11" x14ac:dyDescent="0.75">
      <c r="A40" s="2" t="str">
        <f>'Raw - Workforce'!A84</f>
        <v>Location 4</v>
      </c>
      <c r="B40" s="2" t="str">
        <f>'Raw - Workforce'!B84</f>
        <v>Position E</v>
      </c>
      <c r="C40" s="29">
        <f>'Raw - Workforce'!G84+'Raw - Workforce'!K84</f>
        <v>330340.15664362698</v>
      </c>
      <c r="D40" s="29">
        <f>'Raw - Workforce'!H84+'Raw - Workforce'!L84</f>
        <v>330340.15664362698</v>
      </c>
      <c r="E40" s="29">
        <f>'Raw - Workforce'!I84+'Raw - Workforce'!M84</f>
        <v>336857.15664362698</v>
      </c>
      <c r="F40" s="29">
        <f>'Raw - Workforce'!J84+'Raw - Workforce'!N84</f>
        <v>371830.14</v>
      </c>
      <c r="G40" s="29">
        <f>C40-E40</f>
        <v>-6517</v>
      </c>
      <c r="H40" s="43">
        <f>IFERROR(G40/E40,0)</f>
        <v>-1.9346479276064671E-2</v>
      </c>
      <c r="I40" s="29">
        <f>C40-D40</f>
        <v>0</v>
      </c>
      <c r="J40" s="44">
        <f>'Raw - Workforce'!C84-'Raw - Workforce'!E84</f>
        <v>-4.6000000000000085</v>
      </c>
      <c r="K40" s="43">
        <f>IFERROR('Raw - Workforce'!K84/'Raw - Workforce'!G84,0)</f>
        <v>6.6262065121577729E-2</v>
      </c>
    </row>
    <row r="41" spans="1:11" x14ac:dyDescent="0.75">
      <c r="A41" s="2" t="str">
        <f>'Raw - Workforce'!A19</f>
        <v>Location 1</v>
      </c>
      <c r="B41" s="2" t="str">
        <f>'Raw - Workforce'!B19</f>
        <v>Position R</v>
      </c>
      <c r="C41" s="29">
        <f>'Raw - Workforce'!G19+'Raw - Workforce'!K19</f>
        <v>70022.016955147832</v>
      </c>
      <c r="D41" s="29">
        <f>'Raw - Workforce'!H19+'Raw - Workforce'!L19</f>
        <v>70022.016955147832</v>
      </c>
      <c r="E41" s="29">
        <f>'Raw - Workforce'!I19+'Raw - Workforce'!M19</f>
        <v>76384.724911381738</v>
      </c>
      <c r="F41" s="29">
        <f>'Raw - Workforce'!J19+'Raw - Workforce'!N19</f>
        <v>44669.03</v>
      </c>
      <c r="G41" s="29">
        <f>C41-E41</f>
        <v>-6362.7079562339059</v>
      </c>
      <c r="H41" s="43">
        <f>IFERROR(G41/E41,0)</f>
        <v>-8.3298172031327528E-2</v>
      </c>
      <c r="I41" s="29">
        <f>C41-D41</f>
        <v>0</v>
      </c>
      <c r="J41" s="44">
        <f>'Raw - Workforce'!C19-'Raw - Workforce'!E19</f>
        <v>-2.8174197784824031</v>
      </c>
      <c r="K41" s="43">
        <f>IFERROR('Raw - Workforce'!K19/'Raw - Workforce'!G19,0)</f>
        <v>0.12076403619585574</v>
      </c>
    </row>
    <row r="42" spans="1:11" x14ac:dyDescent="0.75">
      <c r="A42" s="2" t="str">
        <f>'Raw - Workforce'!A72</f>
        <v>Location 3</v>
      </c>
      <c r="B42" s="2" t="str">
        <f>'Raw - Workforce'!B72</f>
        <v>Position S</v>
      </c>
      <c r="C42" s="29">
        <f>'Raw - Workforce'!G72+'Raw - Workforce'!K72</f>
        <v>315765.44618689601</v>
      </c>
      <c r="D42" s="29">
        <f>'Raw - Workforce'!H72+'Raw - Workforce'!L72</f>
        <v>322483.85993555299</v>
      </c>
      <c r="E42" s="29">
        <f>'Raw - Workforce'!I72+'Raw - Workforce'!M72</f>
        <v>322098.57378702</v>
      </c>
      <c r="F42" s="29">
        <f>'Raw - Workforce'!J72+'Raw - Workforce'!N72</f>
        <v>295101.42</v>
      </c>
      <c r="G42" s="29">
        <f>C42-E42</f>
        <v>-6333.1276001239894</v>
      </c>
      <c r="H42" s="43">
        <f>IFERROR(G42/E42,0)</f>
        <v>-1.9662078989246375E-2</v>
      </c>
      <c r="I42" s="29">
        <f>C42-D42</f>
        <v>-6718.4137486569816</v>
      </c>
      <c r="J42" s="44">
        <f>'Raw - Workforce'!C72-'Raw - Workforce'!E72</f>
        <v>-1.259999999999998</v>
      </c>
      <c r="K42" s="43">
        <f>IFERROR('Raw - Workforce'!K72/'Raw - Workforce'!G72,0)</f>
        <v>0</v>
      </c>
    </row>
    <row r="43" spans="1:11" x14ac:dyDescent="0.75">
      <c r="A43" s="2" t="str">
        <f>'Raw - Workforce'!A83</f>
        <v>Location 4</v>
      </c>
      <c r="B43" s="2" t="str">
        <f>'Raw - Workforce'!B83</f>
        <v>Position D</v>
      </c>
      <c r="C43" s="29">
        <f>'Raw - Workforce'!G83+'Raw - Workforce'!K83</f>
        <v>98436.090834285103</v>
      </c>
      <c r="D43" s="29">
        <f>'Raw - Workforce'!H83+'Raw - Workforce'!L83</f>
        <v>106896.0908342851</v>
      </c>
      <c r="E43" s="29">
        <f>'Raw - Workforce'!I83+'Raw - Workforce'!M83</f>
        <v>104436.0908342851</v>
      </c>
      <c r="F43" s="29">
        <f>'Raw - Workforce'!J83+'Raw - Workforce'!N83</f>
        <v>134835.29</v>
      </c>
      <c r="G43" s="29">
        <f>C43-E43</f>
        <v>-6000</v>
      </c>
      <c r="H43" s="43">
        <f>IFERROR(G43/E43,0)</f>
        <v>-5.7451403552824985E-2</v>
      </c>
      <c r="I43" s="29">
        <f>C43-D43</f>
        <v>-8460</v>
      </c>
      <c r="J43" s="44">
        <f>'Raw - Workforce'!C83-'Raw - Workforce'!E83</f>
        <v>-3.1999999999999993</v>
      </c>
      <c r="K43" s="43">
        <f>IFERROR('Raw - Workforce'!K83/'Raw - Workforce'!G83,0)</f>
        <v>9.0275234431470036E-2</v>
      </c>
    </row>
    <row r="44" spans="1:11" x14ac:dyDescent="0.75">
      <c r="A44" s="2" t="str">
        <f>'Raw - Workforce'!A5</f>
        <v>Location 1</v>
      </c>
      <c r="B44" s="2" t="str">
        <f>'Raw - Workforce'!B5</f>
        <v>Position D</v>
      </c>
      <c r="C44" s="29">
        <f>'Raw - Workforce'!G5+'Raw - Workforce'!K5</f>
        <v>59078.241192911155</v>
      </c>
      <c r="D44" s="29">
        <f>'Raw - Workforce'!H5+'Raw - Workforce'!L5</f>
        <v>59078.241192911155</v>
      </c>
      <c r="E44" s="29">
        <f>'Raw - Workforce'!I5+'Raw - Workforce'!M5</f>
        <v>62985.981336439741</v>
      </c>
      <c r="F44" s="29">
        <f>'Raw - Workforce'!J5+'Raw - Workforce'!N5</f>
        <v>66237.47</v>
      </c>
      <c r="G44" s="29">
        <f>C44-E44</f>
        <v>-3907.7401435285865</v>
      </c>
      <c r="H44" s="43">
        <f>IFERROR(G44/E44,0)</f>
        <v>-6.2041426689145078E-2</v>
      </c>
      <c r="I44" s="29">
        <f>C44-D44</f>
        <v>0</v>
      </c>
      <c r="J44" s="44">
        <f>'Raw - Workforce'!C5-'Raw - Workforce'!E5</f>
        <v>-1.360729484589001</v>
      </c>
      <c r="K44" s="43">
        <f>IFERROR('Raw - Workforce'!K5/'Raw - Workforce'!G5,0)</f>
        <v>0.14099137952940163</v>
      </c>
    </row>
    <row r="45" spans="1:11" x14ac:dyDescent="0.75">
      <c r="A45" s="2" t="str">
        <f>'Raw - Workforce'!A49</f>
        <v>Location 2</v>
      </c>
      <c r="B45" s="2" t="str">
        <f>'Raw - Workforce'!B49</f>
        <v>Position V</v>
      </c>
      <c r="C45" s="29">
        <f>'Raw - Workforce'!G49+'Raw - Workforce'!K49</f>
        <v>134453</v>
      </c>
      <c r="D45" s="29">
        <f>'Raw - Workforce'!H49+'Raw - Workforce'!L49</f>
        <v>134453</v>
      </c>
      <c r="E45" s="29">
        <f>'Raw - Workforce'!I49+'Raw - Workforce'!M49</f>
        <v>138329</v>
      </c>
      <c r="F45" s="29">
        <f>'Raw - Workforce'!J49+'Raw - Workforce'!N49</f>
        <v>130861.82</v>
      </c>
      <c r="G45" s="29">
        <f>C45-E45</f>
        <v>-3876</v>
      </c>
      <c r="H45" s="43">
        <f>IFERROR(G45/E45,0)</f>
        <v>-2.802015484822416E-2</v>
      </c>
      <c r="I45" s="29">
        <f>C45-D45</f>
        <v>0</v>
      </c>
      <c r="J45" s="44">
        <f>'Raw - Workforce'!C49-'Raw - Workforce'!E49</f>
        <v>0</v>
      </c>
      <c r="K45" s="43">
        <f>IFERROR('Raw - Workforce'!K49/'Raw - Workforce'!G49,0)</f>
        <v>0</v>
      </c>
    </row>
    <row r="46" spans="1:11" x14ac:dyDescent="0.75">
      <c r="A46" s="2" t="str">
        <f>'Raw - Workforce'!A11</f>
        <v>Location 1</v>
      </c>
      <c r="B46" s="2" t="str">
        <f>'Raw - Workforce'!B11</f>
        <v>Position J</v>
      </c>
      <c r="C46" s="29">
        <f>'Raw - Workforce'!G11+'Raw - Workforce'!K11</f>
        <v>0</v>
      </c>
      <c r="D46" s="29">
        <f>'Raw - Workforce'!H11+'Raw - Workforce'!L11</f>
        <v>0</v>
      </c>
      <c r="E46" s="29">
        <f>'Raw - Workforce'!I11+'Raw - Workforce'!M11</f>
        <v>3646.0643874851203</v>
      </c>
      <c r="F46" s="29">
        <f>'Raw - Workforce'!J11+'Raw - Workforce'!N11</f>
        <v>3492.59</v>
      </c>
      <c r="G46" s="29">
        <f>C46-E46</f>
        <v>-3646.0643874851203</v>
      </c>
      <c r="H46" s="43">
        <f>IFERROR(G46/E46,0)</f>
        <v>-1</v>
      </c>
      <c r="I46" s="29">
        <f>C46-D46</f>
        <v>0</v>
      </c>
      <c r="J46" s="44">
        <f>'Raw - Workforce'!C11-'Raw - Workforce'!E11</f>
        <v>-1</v>
      </c>
      <c r="K46" s="43">
        <f>IFERROR('Raw - Workforce'!K11/'Raw - Workforce'!G11,0)</f>
        <v>0</v>
      </c>
    </row>
    <row r="47" spans="1:11" x14ac:dyDescent="0.75">
      <c r="A47" s="2" t="str">
        <f>'Raw - Workforce'!A40</f>
        <v>Location 2</v>
      </c>
      <c r="B47" s="2" t="str">
        <f>'Raw - Workforce'!B40</f>
        <v>Position M</v>
      </c>
      <c r="C47" s="29">
        <f>'Raw - Workforce'!G40+'Raw - Workforce'!K40</f>
        <v>120729.6421705164</v>
      </c>
      <c r="D47" s="29">
        <f>'Raw - Workforce'!H40+'Raw - Workforce'!L40</f>
        <v>124245.4791271474</v>
      </c>
      <c r="E47" s="29">
        <f>'Raw - Workforce'!I40+'Raw - Workforce'!M40</f>
        <v>123545.47807142641</v>
      </c>
      <c r="F47" s="29">
        <f>'Raw - Workforce'!J40+'Raw - Workforce'!N40</f>
        <v>114626.14000000001</v>
      </c>
      <c r="G47" s="29">
        <f>C47-E47</f>
        <v>-2815.8359009100095</v>
      </c>
      <c r="H47" s="43">
        <f>IFERROR(G47/E47,0)</f>
        <v>-2.2791897727588752E-2</v>
      </c>
      <c r="I47" s="29">
        <f>C47-D47</f>
        <v>-3515.8369566309993</v>
      </c>
      <c r="J47" s="44">
        <f>'Raw - Workforce'!C40-'Raw - Workforce'!E40</f>
        <v>-0.84605932435240305</v>
      </c>
      <c r="K47" s="43">
        <f>IFERROR('Raw - Workforce'!K40/'Raw - Workforce'!G40,0)</f>
        <v>0.11496078664416787</v>
      </c>
    </row>
    <row r="48" spans="1:11" x14ac:dyDescent="0.75">
      <c r="A48" s="2" t="str">
        <f>'Raw - Workforce'!A96</f>
        <v>Location 4</v>
      </c>
      <c r="B48" s="2" t="str">
        <f>'Raw - Workforce'!B96</f>
        <v>Position Q</v>
      </c>
      <c r="C48" s="29">
        <f>'Raw - Workforce'!G96+'Raw - Workforce'!K96</f>
        <v>15020.1983454941</v>
      </c>
      <c r="D48" s="29">
        <f>'Raw - Workforce'!H96+'Raw - Workforce'!L96</f>
        <v>15020.1983454941</v>
      </c>
      <c r="E48" s="29">
        <f>'Raw - Workforce'!I96+'Raw - Workforce'!M96</f>
        <v>16050.2149107802</v>
      </c>
      <c r="F48" s="29">
        <f>'Raw - Workforce'!J96+'Raw - Workforce'!N96</f>
        <v>11827.869999999999</v>
      </c>
      <c r="G48" s="29">
        <f>C48-E48</f>
        <v>-1030.0165652860996</v>
      </c>
      <c r="H48" s="43">
        <f>IFERROR(G48/E48,0)</f>
        <v>-6.4174627630330633E-2</v>
      </c>
      <c r="I48" s="29">
        <f>C48-D48</f>
        <v>0</v>
      </c>
      <c r="J48" s="44">
        <f>'Raw - Workforce'!C96-'Raw - Workforce'!E96</f>
        <v>7.0000000000000284E-2</v>
      </c>
      <c r="K48" s="43">
        <f>IFERROR('Raw - Workforce'!K96/'Raw - Workforce'!G96,0)</f>
        <v>9.0934192592434612E-2</v>
      </c>
    </row>
    <row r="49" spans="1:11" x14ac:dyDescent="0.75">
      <c r="A49" s="2" t="str">
        <f>'Raw - Workforce'!A44</f>
        <v>Location 2</v>
      </c>
      <c r="B49" s="2" t="str">
        <f>'Raw - Workforce'!B44</f>
        <v>Position Q</v>
      </c>
      <c r="C49" s="29">
        <f>'Raw - Workforce'!G44+'Raw - Workforce'!K44</f>
        <v>6658.9048875041153</v>
      </c>
      <c r="D49" s="29">
        <f>'Raw - Workforce'!H44+'Raw - Workforce'!L44</f>
        <v>5956.1641993730855</v>
      </c>
      <c r="E49" s="29">
        <f>'Raw - Workforce'!I44+'Raw - Workforce'!M44</f>
        <v>7305.5906768299556</v>
      </c>
      <c r="F49" s="29">
        <f>'Raw - Workforce'!J44+'Raw - Workforce'!N44</f>
        <v>7981.23</v>
      </c>
      <c r="G49" s="29">
        <f>C49-E49</f>
        <v>-646.68578932584023</v>
      </c>
      <c r="H49" s="43">
        <f>IFERROR(G49/E49,0)</f>
        <v>-8.8519302262147867E-2</v>
      </c>
      <c r="I49" s="29">
        <f>C49-D49</f>
        <v>702.74068813102986</v>
      </c>
      <c r="J49" s="44">
        <f>'Raw - Workforce'!C44-'Raw - Workforce'!E44</f>
        <v>-0.14999999999999991</v>
      </c>
      <c r="K49" s="43">
        <f>IFERROR('Raw - Workforce'!K44/'Raw - Workforce'!G44,0)</f>
        <v>2.9697110623984974E-2</v>
      </c>
    </row>
    <row r="50" spans="1:11" x14ac:dyDescent="0.75">
      <c r="A50" s="2" t="str">
        <f>'Raw - Workforce'!A70</f>
        <v>Location 3</v>
      </c>
      <c r="B50" s="2" t="str">
        <f>'Raw - Workforce'!B70</f>
        <v>Position Q</v>
      </c>
      <c r="C50" s="29">
        <f>'Raw - Workforce'!G70+'Raw - Workforce'!K70</f>
        <v>40543.888306293804</v>
      </c>
      <c r="D50" s="29">
        <f>'Raw - Workforce'!H70+'Raw - Workforce'!L70</f>
        <v>43922.545665151556</v>
      </c>
      <c r="E50" s="29">
        <f>'Raw - Workforce'!I70+'Raw - Workforce'!M70</f>
        <v>40976.285469895287</v>
      </c>
      <c r="F50" s="29">
        <f>'Raw - Workforce'!J70+'Raw - Workforce'!N70</f>
        <v>38810.49</v>
      </c>
      <c r="G50" s="29">
        <f>C50-E50</f>
        <v>-432.39716360148304</v>
      </c>
      <c r="H50" s="43">
        <f>IFERROR(G50/E50,0)</f>
        <v>-1.0552375810617565E-2</v>
      </c>
      <c r="I50" s="29">
        <f>C50-D50</f>
        <v>-3378.6573588577521</v>
      </c>
      <c r="J50" s="44">
        <f>'Raw - Workforce'!C70-'Raw - Workforce'!E70</f>
        <v>-0.39666666666667982</v>
      </c>
      <c r="K50" s="43">
        <f>IFERROR('Raw - Workforce'!K70/'Raw - Workforce'!G70,0)</f>
        <v>9.7374408343975927E-2</v>
      </c>
    </row>
    <row r="51" spans="1:11" x14ac:dyDescent="0.75">
      <c r="A51" s="2" t="str">
        <f>'Raw - Workforce'!A8</f>
        <v>Location 1</v>
      </c>
      <c r="B51" s="2" t="str">
        <f>'Raw - Workforce'!B8</f>
        <v>Position G</v>
      </c>
      <c r="C51" s="29">
        <f>'Raw - Workforce'!G8+'Raw - Workforce'!K8</f>
        <v>52524.516866189952</v>
      </c>
      <c r="D51" s="29">
        <f>'Raw - Workforce'!H8+'Raw - Workforce'!L8</f>
        <v>52524.516866189952</v>
      </c>
      <c r="E51" s="29">
        <f>'Raw - Workforce'!I8+'Raw - Workforce'!M8</f>
        <v>52929.407794665043</v>
      </c>
      <c r="F51" s="29">
        <f>'Raw - Workforce'!J8+'Raw - Workforce'!N8</f>
        <v>54128.43</v>
      </c>
      <c r="G51" s="29">
        <f>C51-E51</f>
        <v>-404.89092847509164</v>
      </c>
      <c r="H51" s="43">
        <f>IFERROR(G51/E51,0)</f>
        <v>-7.6496402537853852E-3</v>
      </c>
      <c r="I51" s="29">
        <f>C51-D51</f>
        <v>0</v>
      </c>
      <c r="J51" s="44">
        <f>'Raw - Workforce'!C8-'Raw - Workforce'!E8</f>
        <v>-0.50138050325250028</v>
      </c>
      <c r="K51" s="43">
        <f>IFERROR('Raw - Workforce'!K8/'Raw - Workforce'!G8,0)</f>
        <v>0.14099137952940141</v>
      </c>
    </row>
    <row r="52" spans="1:11" x14ac:dyDescent="0.75">
      <c r="A52" s="2" t="str">
        <f>'Raw - Workforce'!A4</f>
        <v>Location 1</v>
      </c>
      <c r="B52" s="2" t="str">
        <f>'Raw - Workforce'!B4</f>
        <v>Position C</v>
      </c>
      <c r="C52" s="29">
        <f>'Raw - Workforce'!G4+'Raw - Workforce'!K4</f>
        <v>0</v>
      </c>
      <c r="D52" s="29">
        <f>'Raw - Workforce'!H4+'Raw - Workforce'!L4</f>
        <v>0</v>
      </c>
      <c r="E52" s="29">
        <f>'Raw - Workforce'!I4+'Raw - Workforce'!M4</f>
        <v>0</v>
      </c>
      <c r="F52" s="29">
        <f>'Raw - Workforce'!J4+'Raw - Workforce'!N4</f>
        <v>0</v>
      </c>
      <c r="G52" s="29">
        <f>C52-E52</f>
        <v>0</v>
      </c>
      <c r="H52" s="43">
        <f>IFERROR(G52/E52,0)</f>
        <v>0</v>
      </c>
      <c r="I52" s="29">
        <f>C52-D52</f>
        <v>0</v>
      </c>
      <c r="J52" s="44">
        <f>'Raw - Workforce'!C4-'Raw - Workforce'!E4</f>
        <v>0</v>
      </c>
      <c r="K52" s="43">
        <f>IFERROR('Raw - Workforce'!K4/'Raw - Workforce'!G4,0)</f>
        <v>0</v>
      </c>
    </row>
    <row r="53" spans="1:11" x14ac:dyDescent="0.75">
      <c r="A53" s="2" t="str">
        <f>'Raw - Workforce'!A20</f>
        <v>Location 1</v>
      </c>
      <c r="B53" s="2" t="str">
        <f>'Raw - Workforce'!B20</f>
        <v>Position S</v>
      </c>
      <c r="C53" s="29">
        <f>'Raw - Workforce'!G20+'Raw - Workforce'!K20</f>
        <v>271804.08875840501</v>
      </c>
      <c r="D53" s="29">
        <f>'Raw - Workforce'!H20+'Raw - Workforce'!L20</f>
        <v>271804.08875840501</v>
      </c>
      <c r="E53" s="29">
        <f>'Raw - Workforce'!I20+'Raw - Workforce'!M20</f>
        <v>271804.08875840501</v>
      </c>
      <c r="F53" s="29">
        <f>'Raw - Workforce'!J20+'Raw - Workforce'!N20</f>
        <v>261783.09</v>
      </c>
      <c r="G53" s="29">
        <f>C53-E53</f>
        <v>0</v>
      </c>
      <c r="H53" s="43">
        <f>IFERROR(G53/E53,0)</f>
        <v>0</v>
      </c>
      <c r="I53" s="29">
        <f>C53-D53</f>
        <v>0</v>
      </c>
      <c r="J53" s="44">
        <f>'Raw - Workforce'!C20-'Raw - Workforce'!E20</f>
        <v>-0.10000000000000142</v>
      </c>
      <c r="K53" s="43">
        <f>IFERROR('Raw - Workforce'!K20/'Raw - Workforce'!G20,0)</f>
        <v>0</v>
      </c>
    </row>
    <row r="54" spans="1:11" x14ac:dyDescent="0.75">
      <c r="A54" s="2" t="str">
        <f>'Raw - Workforce'!A26</f>
        <v>Location 1</v>
      </c>
      <c r="B54" s="2" t="str">
        <f>'Raw - Workforce'!B26</f>
        <v>Position Y</v>
      </c>
      <c r="C54" s="29">
        <f>'Raw - Workforce'!G26+'Raw - Workforce'!K26</f>
        <v>0</v>
      </c>
      <c r="D54" s="29">
        <f>'Raw - Workforce'!H26+'Raw - Workforce'!L26</f>
        <v>0</v>
      </c>
      <c r="E54" s="29">
        <f>'Raw - Workforce'!I26+'Raw - Workforce'!M26</f>
        <v>0</v>
      </c>
      <c r="F54" s="29">
        <f>'Raw - Workforce'!J26+'Raw - Workforce'!N26</f>
        <v>0</v>
      </c>
      <c r="G54" s="29">
        <f>C54-E54</f>
        <v>0</v>
      </c>
      <c r="H54" s="43">
        <f>IFERROR(G54/E54,0)</f>
        <v>0</v>
      </c>
      <c r="I54" s="29">
        <f>C54-D54</f>
        <v>0</v>
      </c>
      <c r="J54" s="44">
        <f>'Raw - Workforce'!C26-'Raw - Workforce'!E26</f>
        <v>0</v>
      </c>
      <c r="K54" s="43">
        <f>IFERROR('Raw - Workforce'!K26/'Raw - Workforce'!G26,0)</f>
        <v>0</v>
      </c>
    </row>
    <row r="55" spans="1:11" x14ac:dyDescent="0.75">
      <c r="A55" s="2" t="str">
        <f>'Raw - Workforce'!A27</f>
        <v>Location 1</v>
      </c>
      <c r="B55" s="2" t="str">
        <f>'Raw - Workforce'!B27</f>
        <v>Position Z</v>
      </c>
      <c r="C55" s="29">
        <f>'Raw - Workforce'!G27+'Raw - Workforce'!K27</f>
        <v>0</v>
      </c>
      <c r="D55" s="29">
        <f>'Raw - Workforce'!H27+'Raw - Workforce'!L27</f>
        <v>0</v>
      </c>
      <c r="E55" s="29">
        <f>'Raw - Workforce'!I27+'Raw - Workforce'!M27</f>
        <v>0</v>
      </c>
      <c r="F55" s="29">
        <f>'Raw - Workforce'!J27+'Raw - Workforce'!N27</f>
        <v>0</v>
      </c>
      <c r="G55" s="29">
        <f>C55-E55</f>
        <v>0</v>
      </c>
      <c r="H55" s="43">
        <f>IFERROR(G55/E55,0)</f>
        <v>0</v>
      </c>
      <c r="I55" s="29">
        <f>C55-D55</f>
        <v>0</v>
      </c>
      <c r="J55" s="44">
        <f>'Raw - Workforce'!C27-'Raw - Workforce'!E27</f>
        <v>0</v>
      </c>
      <c r="K55" s="43">
        <f>IFERROR('Raw - Workforce'!K27/'Raw - Workforce'!G27,0)</f>
        <v>0</v>
      </c>
    </row>
    <row r="56" spans="1:11" x14ac:dyDescent="0.75">
      <c r="A56" s="2" t="str">
        <f>'Raw - Workforce'!A30</f>
        <v>Location 2</v>
      </c>
      <c r="B56" s="2" t="str">
        <f>'Raw - Workforce'!B30</f>
        <v>Position C</v>
      </c>
      <c r="C56" s="29">
        <f>'Raw - Workforce'!G30+'Raw - Workforce'!K30</f>
        <v>0</v>
      </c>
      <c r="D56" s="29">
        <f>'Raw - Workforce'!H30+'Raw - Workforce'!L30</f>
        <v>0</v>
      </c>
      <c r="E56" s="29">
        <f>'Raw - Workforce'!I30+'Raw - Workforce'!M30</f>
        <v>0</v>
      </c>
      <c r="F56" s="29">
        <f>'Raw - Workforce'!J30+'Raw - Workforce'!N30</f>
        <v>0</v>
      </c>
      <c r="G56" s="29">
        <f>C56-E56</f>
        <v>0</v>
      </c>
      <c r="H56" s="43">
        <f>IFERROR(G56/E56,0)</f>
        <v>0</v>
      </c>
      <c r="I56" s="29">
        <f>C56-D56</f>
        <v>0</v>
      </c>
      <c r="J56" s="44">
        <f>'Raw - Workforce'!C30-'Raw - Workforce'!E30</f>
        <v>0</v>
      </c>
      <c r="K56" s="43">
        <f>IFERROR('Raw - Workforce'!K30/'Raw - Workforce'!G30,0)</f>
        <v>0</v>
      </c>
    </row>
    <row r="57" spans="1:11" x14ac:dyDescent="0.75">
      <c r="A57" s="2" t="str">
        <f>'Raw - Workforce'!A34</f>
        <v>Location 2</v>
      </c>
      <c r="B57" s="2" t="str">
        <f>'Raw - Workforce'!B34</f>
        <v>Position G</v>
      </c>
      <c r="C57" s="29">
        <f>'Raw - Workforce'!G34+'Raw - Workforce'!K34</f>
        <v>0</v>
      </c>
      <c r="D57" s="29">
        <f>'Raw - Workforce'!H34+'Raw - Workforce'!L34</f>
        <v>0</v>
      </c>
      <c r="E57" s="29">
        <f>'Raw - Workforce'!I34+'Raw - Workforce'!M34</f>
        <v>0</v>
      </c>
      <c r="F57" s="29">
        <f>'Raw - Workforce'!J34+'Raw - Workforce'!N34</f>
        <v>0</v>
      </c>
      <c r="G57" s="29">
        <f>C57-E57</f>
        <v>0</v>
      </c>
      <c r="H57" s="43">
        <f>IFERROR(G57/E57,0)</f>
        <v>0</v>
      </c>
      <c r="I57" s="29">
        <f>C57-D57</f>
        <v>0</v>
      </c>
      <c r="J57" s="44">
        <f>'Raw - Workforce'!C34-'Raw - Workforce'!E34</f>
        <v>0</v>
      </c>
      <c r="K57" s="43">
        <f>IFERROR('Raw - Workforce'!K34/'Raw - Workforce'!G34,0)</f>
        <v>0</v>
      </c>
    </row>
    <row r="58" spans="1:11" x14ac:dyDescent="0.75">
      <c r="A58" s="2" t="str">
        <f>'Raw - Workforce'!A37</f>
        <v>Location 2</v>
      </c>
      <c r="B58" s="2" t="str">
        <f>'Raw - Workforce'!B37</f>
        <v>Position J</v>
      </c>
      <c r="C58" s="29">
        <f>'Raw - Workforce'!G37+'Raw - Workforce'!K37</f>
        <v>0</v>
      </c>
      <c r="D58" s="29">
        <f>'Raw - Workforce'!H37+'Raw - Workforce'!L37</f>
        <v>0</v>
      </c>
      <c r="E58" s="29">
        <f>'Raw - Workforce'!I37+'Raw - Workforce'!M37</f>
        <v>0</v>
      </c>
      <c r="F58" s="29">
        <f>'Raw - Workforce'!J37+'Raw - Workforce'!N37</f>
        <v>0</v>
      </c>
      <c r="G58" s="29">
        <f>C58-E58</f>
        <v>0</v>
      </c>
      <c r="H58" s="43">
        <f>IFERROR(G58/E58,0)</f>
        <v>0</v>
      </c>
      <c r="I58" s="29">
        <f>C58-D58</f>
        <v>0</v>
      </c>
      <c r="J58" s="44">
        <f>'Raw - Workforce'!C37-'Raw - Workforce'!E37</f>
        <v>0</v>
      </c>
      <c r="K58" s="43">
        <f>IFERROR('Raw - Workforce'!K37/'Raw - Workforce'!G37,0)</f>
        <v>0</v>
      </c>
    </row>
    <row r="59" spans="1:11" x14ac:dyDescent="0.75">
      <c r="A59" s="2" t="str">
        <f>'Raw - Workforce'!A53</f>
        <v>Location 2</v>
      </c>
      <c r="B59" s="2" t="str">
        <f>'Raw - Workforce'!B53</f>
        <v>Position Z</v>
      </c>
      <c r="C59" s="29">
        <f>'Raw - Workforce'!G53+'Raw - Workforce'!K53</f>
        <v>0</v>
      </c>
      <c r="D59" s="29">
        <f>'Raw - Workforce'!H53+'Raw - Workforce'!L53</f>
        <v>0</v>
      </c>
      <c r="E59" s="29">
        <f>'Raw - Workforce'!I53+'Raw - Workforce'!M53</f>
        <v>0</v>
      </c>
      <c r="F59" s="29">
        <f>'Raw - Workforce'!J53+'Raw - Workforce'!N53</f>
        <v>0</v>
      </c>
      <c r="G59" s="29">
        <f>C59-E59</f>
        <v>0</v>
      </c>
      <c r="H59" s="43">
        <f>IFERROR(G59/E59,0)</f>
        <v>0</v>
      </c>
      <c r="I59" s="29">
        <f>C59-D59</f>
        <v>0</v>
      </c>
      <c r="J59" s="44">
        <f>'Raw - Workforce'!C53-'Raw - Workforce'!E53</f>
        <v>0</v>
      </c>
      <c r="K59" s="43">
        <f>IFERROR('Raw - Workforce'!K53/'Raw - Workforce'!G53,0)</f>
        <v>0</v>
      </c>
    </row>
    <row r="60" spans="1:11" x14ac:dyDescent="0.75">
      <c r="A60" s="2" t="str">
        <f>'Raw - Workforce'!A56</f>
        <v>Location 3</v>
      </c>
      <c r="B60" s="2" t="str">
        <f>'Raw - Workforce'!B56</f>
        <v>Position C</v>
      </c>
      <c r="C60" s="29">
        <f>'Raw - Workforce'!G56+'Raw - Workforce'!K56</f>
        <v>0</v>
      </c>
      <c r="D60" s="29">
        <f>'Raw - Workforce'!H56+'Raw - Workforce'!L56</f>
        <v>0</v>
      </c>
      <c r="E60" s="29">
        <f>'Raw - Workforce'!I56+'Raw - Workforce'!M56</f>
        <v>0</v>
      </c>
      <c r="F60" s="29">
        <f>'Raw - Workforce'!J56+'Raw - Workforce'!N56</f>
        <v>0</v>
      </c>
      <c r="G60" s="29">
        <f>C60-E60</f>
        <v>0</v>
      </c>
      <c r="H60" s="43">
        <f>IFERROR(G60/E60,0)</f>
        <v>0</v>
      </c>
      <c r="I60" s="29">
        <f>C60-D60</f>
        <v>0</v>
      </c>
      <c r="J60" s="44">
        <f>'Raw - Workforce'!C56-'Raw - Workforce'!E56</f>
        <v>0</v>
      </c>
      <c r="K60" s="43">
        <f>IFERROR('Raw - Workforce'!K56/'Raw - Workforce'!G56,0)</f>
        <v>0</v>
      </c>
    </row>
    <row r="61" spans="1:11" x14ac:dyDescent="0.75">
      <c r="A61" s="2" t="str">
        <f>'Raw - Workforce'!A60</f>
        <v>Location 3</v>
      </c>
      <c r="B61" s="2" t="str">
        <f>'Raw - Workforce'!B60</f>
        <v>Position G</v>
      </c>
      <c r="C61" s="29">
        <f>'Raw - Workforce'!G60+'Raw - Workforce'!K60</f>
        <v>0</v>
      </c>
      <c r="D61" s="29">
        <f>'Raw - Workforce'!H60+'Raw - Workforce'!L60</f>
        <v>0</v>
      </c>
      <c r="E61" s="29">
        <f>'Raw - Workforce'!I60+'Raw - Workforce'!M60</f>
        <v>0</v>
      </c>
      <c r="F61" s="29">
        <f>'Raw - Workforce'!J60+'Raw - Workforce'!N60</f>
        <v>0</v>
      </c>
      <c r="G61" s="29">
        <f>C61-E61</f>
        <v>0</v>
      </c>
      <c r="H61" s="43">
        <f>IFERROR(G61/E61,0)</f>
        <v>0</v>
      </c>
      <c r="I61" s="29">
        <f>C61-D61</f>
        <v>0</v>
      </c>
      <c r="J61" s="44">
        <f>'Raw - Workforce'!C60-'Raw - Workforce'!E60</f>
        <v>0</v>
      </c>
      <c r="K61" s="43">
        <f>IFERROR('Raw - Workforce'!K60/'Raw - Workforce'!G60,0)</f>
        <v>0</v>
      </c>
    </row>
    <row r="62" spans="1:11" x14ac:dyDescent="0.75">
      <c r="A62" s="2" t="str">
        <f>'Raw - Workforce'!A63</f>
        <v>Location 3</v>
      </c>
      <c r="B62" s="2" t="str">
        <f>'Raw - Workforce'!B63</f>
        <v>Position J</v>
      </c>
      <c r="C62" s="29">
        <f>'Raw - Workforce'!G63+'Raw - Workforce'!K63</f>
        <v>0</v>
      </c>
      <c r="D62" s="29">
        <f>'Raw - Workforce'!H63+'Raw - Workforce'!L63</f>
        <v>0</v>
      </c>
      <c r="E62" s="29">
        <f>'Raw - Workforce'!I63+'Raw - Workforce'!M63</f>
        <v>0</v>
      </c>
      <c r="F62" s="29">
        <f>'Raw - Workforce'!J63+'Raw - Workforce'!N63</f>
        <v>0</v>
      </c>
      <c r="G62" s="29">
        <f>C62-E62</f>
        <v>0</v>
      </c>
      <c r="H62" s="43">
        <f>IFERROR(G62/E62,0)</f>
        <v>0</v>
      </c>
      <c r="I62" s="29">
        <f>C62-D62</f>
        <v>0</v>
      </c>
      <c r="J62" s="44">
        <f>'Raw - Workforce'!C63-'Raw - Workforce'!E63</f>
        <v>0</v>
      </c>
      <c r="K62" s="43">
        <f>IFERROR('Raw - Workforce'!K63/'Raw - Workforce'!G63,0)</f>
        <v>0</v>
      </c>
    </row>
    <row r="63" spans="1:11" x14ac:dyDescent="0.75">
      <c r="A63" s="2" t="str">
        <f>'Raw - Workforce'!A78</f>
        <v>Location 3</v>
      </c>
      <c r="B63" s="2" t="str">
        <f>'Raw - Workforce'!B78</f>
        <v>Position Y</v>
      </c>
      <c r="C63" s="29">
        <f>'Raw - Workforce'!G78+'Raw - Workforce'!K78</f>
        <v>0</v>
      </c>
      <c r="D63" s="29">
        <f>'Raw - Workforce'!H78+'Raw - Workforce'!L78</f>
        <v>0</v>
      </c>
      <c r="E63" s="29">
        <f>'Raw - Workforce'!I78+'Raw - Workforce'!M78</f>
        <v>0</v>
      </c>
      <c r="F63" s="29">
        <f>'Raw - Workforce'!J78+'Raw - Workforce'!N78</f>
        <v>0</v>
      </c>
      <c r="G63" s="29">
        <f>C63-E63</f>
        <v>0</v>
      </c>
      <c r="H63" s="43">
        <f>IFERROR(G63/E63,0)</f>
        <v>0</v>
      </c>
      <c r="I63" s="29">
        <f>C63-D63</f>
        <v>0</v>
      </c>
      <c r="J63" s="44">
        <f>'Raw - Workforce'!C78-'Raw - Workforce'!E78</f>
        <v>0</v>
      </c>
      <c r="K63" s="43">
        <f>IFERROR('Raw - Workforce'!K78/'Raw - Workforce'!G78,0)</f>
        <v>0</v>
      </c>
    </row>
    <row r="64" spans="1:11" x14ac:dyDescent="0.75">
      <c r="A64" s="2" t="str">
        <f>'Raw - Workforce'!A79</f>
        <v>Location 3</v>
      </c>
      <c r="B64" s="2" t="str">
        <f>'Raw - Workforce'!B79</f>
        <v>Position Z</v>
      </c>
      <c r="C64" s="29">
        <f>'Raw - Workforce'!G79+'Raw - Workforce'!K79</f>
        <v>0</v>
      </c>
      <c r="D64" s="29">
        <f>'Raw - Workforce'!H79+'Raw - Workforce'!L79</f>
        <v>0</v>
      </c>
      <c r="E64" s="29">
        <f>'Raw - Workforce'!I79+'Raw - Workforce'!M79</f>
        <v>0</v>
      </c>
      <c r="F64" s="29">
        <f>'Raw - Workforce'!J79+'Raw - Workforce'!N79</f>
        <v>0</v>
      </c>
      <c r="G64" s="29">
        <f>C64-E64</f>
        <v>0</v>
      </c>
      <c r="H64" s="43">
        <f>IFERROR(G64/E64,0)</f>
        <v>0</v>
      </c>
      <c r="I64" s="29">
        <f>C64-D64</f>
        <v>0</v>
      </c>
      <c r="J64" s="44">
        <f>'Raw - Workforce'!C79-'Raw - Workforce'!E79</f>
        <v>0</v>
      </c>
      <c r="K64" s="43">
        <f>IFERROR('Raw - Workforce'!K79/'Raw - Workforce'!G79,0)</f>
        <v>0</v>
      </c>
    </row>
    <row r="65" spans="1:11" x14ac:dyDescent="0.75">
      <c r="A65" s="2" t="str">
        <f>'Raw - Workforce'!A82</f>
        <v>Location 4</v>
      </c>
      <c r="B65" s="2" t="str">
        <f>'Raw - Workforce'!B82</f>
        <v>Position C</v>
      </c>
      <c r="C65" s="29">
        <f>'Raw - Workforce'!G82+'Raw - Workforce'!K82</f>
        <v>0</v>
      </c>
      <c r="D65" s="29">
        <f>'Raw - Workforce'!H82+'Raw - Workforce'!L82</f>
        <v>0</v>
      </c>
      <c r="E65" s="29">
        <f>'Raw - Workforce'!I82+'Raw - Workforce'!M82</f>
        <v>0</v>
      </c>
      <c r="F65" s="29">
        <f>'Raw - Workforce'!J82+'Raw - Workforce'!N82</f>
        <v>0</v>
      </c>
      <c r="G65" s="29">
        <f>C65-E65</f>
        <v>0</v>
      </c>
      <c r="H65" s="43">
        <f>IFERROR(G65/E65,0)</f>
        <v>0</v>
      </c>
      <c r="I65" s="29">
        <f>C65-D65</f>
        <v>0</v>
      </c>
      <c r="J65" s="44">
        <f>'Raw - Workforce'!C82-'Raw - Workforce'!E82</f>
        <v>0</v>
      </c>
      <c r="K65" s="43">
        <f>IFERROR('Raw - Workforce'!K82/'Raw - Workforce'!G82,0)</f>
        <v>0</v>
      </c>
    </row>
    <row r="66" spans="1:11" x14ac:dyDescent="0.75">
      <c r="A66" s="2" t="str">
        <f>'Raw - Workforce'!A102</f>
        <v>Location 4</v>
      </c>
      <c r="B66" s="2" t="str">
        <f>'Raw - Workforce'!B102</f>
        <v>Position W</v>
      </c>
      <c r="C66" s="29">
        <f>'Raw - Workforce'!G102+'Raw - Workforce'!K102</f>
        <v>10445.282999999999</v>
      </c>
      <c r="D66" s="29">
        <f>'Raw - Workforce'!H102+'Raw - Workforce'!L102</f>
        <v>10445.282999999999</v>
      </c>
      <c r="E66" s="29">
        <f>'Raw - Workforce'!I102+'Raw - Workforce'!M102</f>
        <v>10445.282999999999</v>
      </c>
      <c r="F66" s="29">
        <f>'Raw - Workforce'!J102+'Raw - Workforce'!N102</f>
        <v>144592.95999999999</v>
      </c>
      <c r="G66" s="29">
        <f>C66-E66</f>
        <v>0</v>
      </c>
      <c r="H66" s="43">
        <f>IFERROR(G66/E66,0)</f>
        <v>0</v>
      </c>
      <c r="I66" s="29">
        <f>C66-D66</f>
        <v>0</v>
      </c>
      <c r="J66" s="44">
        <f>'Raw - Workforce'!C102-'Raw - Workforce'!E102</f>
        <v>0</v>
      </c>
      <c r="K66" s="43">
        <f>IFERROR('Raw - Workforce'!K102/'Raw - Workforce'!G102,0)</f>
        <v>0</v>
      </c>
    </row>
    <row r="67" spans="1:11" x14ac:dyDescent="0.75">
      <c r="A67" s="2" t="str">
        <f>'Raw - Workforce'!A104</f>
        <v>Location 4</v>
      </c>
      <c r="B67" s="2" t="str">
        <f>'Raw - Workforce'!B104</f>
        <v>Position Y</v>
      </c>
      <c r="C67" s="29">
        <f>'Raw - Workforce'!G104+'Raw - Workforce'!K104</f>
        <v>0</v>
      </c>
      <c r="D67" s="29">
        <f>'Raw - Workforce'!H104+'Raw - Workforce'!L104</f>
        <v>0</v>
      </c>
      <c r="E67" s="29">
        <f>'Raw - Workforce'!I104+'Raw - Workforce'!M104</f>
        <v>0</v>
      </c>
      <c r="F67" s="29">
        <f>'Raw - Workforce'!J104+'Raw - Workforce'!N104</f>
        <v>0</v>
      </c>
      <c r="G67" s="29">
        <f>C67-E67</f>
        <v>0</v>
      </c>
      <c r="H67" s="43">
        <f>IFERROR(G67/E67,0)</f>
        <v>0</v>
      </c>
      <c r="I67" s="29">
        <f>C67-D67</f>
        <v>0</v>
      </c>
      <c r="J67" s="44">
        <f>'Raw - Workforce'!C104-'Raw - Workforce'!E104</f>
        <v>0</v>
      </c>
      <c r="K67" s="43">
        <f>IFERROR('Raw - Workforce'!K104/'Raw - Workforce'!G104,0)</f>
        <v>0</v>
      </c>
    </row>
    <row r="68" spans="1:11" x14ac:dyDescent="0.75">
      <c r="A68" s="2" t="str">
        <f>'Raw - Workforce'!A105</f>
        <v>Location 4</v>
      </c>
      <c r="B68" s="2" t="str">
        <f>'Raw - Workforce'!B105</f>
        <v>Position Z</v>
      </c>
      <c r="C68" s="29">
        <f>'Raw - Workforce'!G105+'Raw - Workforce'!K105</f>
        <v>0</v>
      </c>
      <c r="D68" s="29">
        <f>'Raw - Workforce'!H105+'Raw - Workforce'!L105</f>
        <v>0</v>
      </c>
      <c r="E68" s="29">
        <f>'Raw - Workforce'!I105+'Raw - Workforce'!M105</f>
        <v>0</v>
      </c>
      <c r="F68" s="29">
        <f>'Raw - Workforce'!J105+'Raw - Workforce'!N105</f>
        <v>0</v>
      </c>
      <c r="G68" s="29">
        <f>C68-E68</f>
        <v>0</v>
      </c>
      <c r="H68" s="43">
        <f>IFERROR(G68/E68,0)</f>
        <v>0</v>
      </c>
      <c r="I68" s="29">
        <f>C68-D68</f>
        <v>0</v>
      </c>
      <c r="J68" s="44">
        <f>'Raw - Workforce'!C105-'Raw - Workforce'!E105</f>
        <v>0</v>
      </c>
      <c r="K68" s="43">
        <f>IFERROR('Raw - Workforce'!K105/'Raw - Workforce'!G105,0)</f>
        <v>0</v>
      </c>
    </row>
    <row r="69" spans="1:11" x14ac:dyDescent="0.75">
      <c r="A69" s="2" t="str">
        <f>'Raw - Workforce'!A89</f>
        <v>Location 4</v>
      </c>
      <c r="B69" s="2" t="str">
        <f>'Raw - Workforce'!B89</f>
        <v>Position J</v>
      </c>
      <c r="C69" s="29">
        <f>'Raw - Workforce'!G89+'Raw - Workforce'!K89</f>
        <v>27306.9335684857</v>
      </c>
      <c r="D69" s="29">
        <f>'Raw - Workforce'!H89+'Raw - Workforce'!L89</f>
        <v>27306.9335684857</v>
      </c>
      <c r="E69" s="29">
        <f>'Raw - Workforce'!I89+'Raw - Workforce'!M89</f>
        <v>26457.9335684857</v>
      </c>
      <c r="F69" s="29">
        <f>'Raw - Workforce'!J89+'Raw - Workforce'!N89</f>
        <v>32340.690000000002</v>
      </c>
      <c r="G69" s="29">
        <f>C69-E69</f>
        <v>849</v>
      </c>
      <c r="H69" s="43">
        <f>IFERROR(G69/E69,0)</f>
        <v>3.2088673811293114E-2</v>
      </c>
      <c r="I69" s="29">
        <f>C69-D69</f>
        <v>0</v>
      </c>
      <c r="J69" s="44">
        <f>'Raw - Workforce'!C89-'Raw - Workforce'!E89</f>
        <v>-0.5</v>
      </c>
      <c r="K69" s="43">
        <f>IFERROR('Raw - Workforce'!K89/'Raw - Workforce'!G89,0)</f>
        <v>6.4870602242908136E-3</v>
      </c>
    </row>
    <row r="70" spans="1:11" x14ac:dyDescent="0.75">
      <c r="A70" s="2" t="str">
        <f>'Raw - Workforce'!A92</f>
        <v>Location 4</v>
      </c>
      <c r="B70" s="2" t="str">
        <f>'Raw - Workforce'!B92</f>
        <v>Position M</v>
      </c>
      <c r="C70" s="29">
        <f>'Raw - Workforce'!G92+'Raw - Workforce'!K92</f>
        <v>205891.08045167901</v>
      </c>
      <c r="D70" s="29">
        <f>'Raw - Workforce'!H92+'Raw - Workforce'!L92</f>
        <v>209568.95889741901</v>
      </c>
      <c r="E70" s="29">
        <f>'Raw - Workforce'!I92+'Raw - Workforce'!M92</f>
        <v>204891.08045167901</v>
      </c>
      <c r="F70" s="29">
        <f>'Raw - Workforce'!J92+'Raw - Workforce'!N92</f>
        <v>259054.87</v>
      </c>
      <c r="G70" s="29">
        <f>C70-E70</f>
        <v>1000</v>
      </c>
      <c r="H70" s="43">
        <f>IFERROR(G70/E70,0)</f>
        <v>4.8806419381239854E-3</v>
      </c>
      <c r="I70" s="29">
        <f>C70-D70</f>
        <v>-3677.8784457400034</v>
      </c>
      <c r="J70" s="44">
        <f>'Raw - Workforce'!C92-'Raw - Workforce'!E92</f>
        <v>5.196666666666701</v>
      </c>
      <c r="K70" s="43">
        <f>IFERROR('Raw - Workforce'!K92/'Raw - Workforce'!G92,0)</f>
        <v>6.3197358148669197E-2</v>
      </c>
    </row>
    <row r="71" spans="1:11" x14ac:dyDescent="0.75">
      <c r="A71" s="2" t="str">
        <f>'Raw - Workforce'!A86</f>
        <v>Location 4</v>
      </c>
      <c r="B71" s="2" t="str">
        <f>'Raw - Workforce'!B86</f>
        <v>Position G</v>
      </c>
      <c r="C71" s="29">
        <f>'Raw - Workforce'!G86+'Raw - Workforce'!K86</f>
        <v>14177.4191680692</v>
      </c>
      <c r="D71" s="29">
        <f>'Raw - Workforce'!H86+'Raw - Workforce'!L86</f>
        <v>14177.4191680692</v>
      </c>
      <c r="E71" s="29">
        <f>'Raw - Workforce'!I86+'Raw - Workforce'!M86</f>
        <v>12074.4191680692</v>
      </c>
      <c r="F71" s="29">
        <f>'Raw - Workforce'!J86+'Raw - Workforce'!N86</f>
        <v>26290.62</v>
      </c>
      <c r="G71" s="29">
        <f>C71-E71</f>
        <v>2103</v>
      </c>
      <c r="H71" s="43">
        <f>IFERROR(G71/E71,0)</f>
        <v>0.17416986860629977</v>
      </c>
      <c r="I71" s="29">
        <f>C71-D71</f>
        <v>0</v>
      </c>
      <c r="J71" s="44">
        <f>'Raw - Workforce'!C86-'Raw - Workforce'!E86</f>
        <v>0.20000000000000018</v>
      </c>
      <c r="K71" s="43">
        <f>IFERROR('Raw - Workforce'!K86/'Raw - Workforce'!G86,0)</f>
        <v>4.6389748166930827E-3</v>
      </c>
    </row>
    <row r="72" spans="1:11" x14ac:dyDescent="0.75">
      <c r="A72" s="2" t="str">
        <f>'Raw - Workforce'!A91</f>
        <v>Location 4</v>
      </c>
      <c r="B72" s="2" t="str">
        <f>'Raw - Workforce'!B91</f>
        <v>Position L</v>
      </c>
      <c r="C72" s="29">
        <f>'Raw - Workforce'!G91+'Raw - Workforce'!K91</f>
        <v>1908096.9745265699</v>
      </c>
      <c r="D72" s="29">
        <f>'Raw - Workforce'!H91+'Raw - Workforce'!L91</f>
        <v>1828716.7876633399</v>
      </c>
      <c r="E72" s="29">
        <f>'Raw - Workforce'!I91+'Raw - Workforce'!M91</f>
        <v>1904267.14402657</v>
      </c>
      <c r="F72" s="29">
        <f>'Raw - Workforce'!J91+'Raw - Workforce'!N91</f>
        <v>1731166.3699999999</v>
      </c>
      <c r="G72" s="29">
        <f>C72-E72</f>
        <v>3829.8304999999236</v>
      </c>
      <c r="H72" s="43">
        <f>IFERROR(G72/E72,0)</f>
        <v>2.0111834161575422E-3</v>
      </c>
      <c r="I72" s="29">
        <f>C72-D72</f>
        <v>79380.186863230076</v>
      </c>
      <c r="J72" s="44">
        <f>'Raw - Workforce'!C91-'Raw - Workforce'!E91</f>
        <v>-37.400000000000034</v>
      </c>
      <c r="K72" s="43">
        <f>IFERROR('Raw - Workforce'!K91/'Raw - Workforce'!G91,0)</f>
        <v>8.2138615589141817E-2</v>
      </c>
    </row>
    <row r="73" spans="1:11" x14ac:dyDescent="0.75">
      <c r="A73" s="2" t="str">
        <f>'Raw - Workforce'!A41</f>
        <v>Location 2</v>
      </c>
      <c r="B73" s="2" t="str">
        <f>'Raw - Workforce'!B41</f>
        <v>Position N</v>
      </c>
      <c r="C73" s="29">
        <f>'Raw - Workforce'!G41+'Raw - Workforce'!K41</f>
        <v>150728.4986779223</v>
      </c>
      <c r="D73" s="29">
        <f>'Raw - Workforce'!H41+'Raw - Workforce'!L41</f>
        <v>154521.8658216513</v>
      </c>
      <c r="E73" s="29">
        <f>'Raw - Workforce'!I41+'Raw - Workforce'!M41</f>
        <v>145036.7791790303</v>
      </c>
      <c r="F73" s="29">
        <f>'Raw - Workforce'!J41+'Raw - Workforce'!N41</f>
        <v>153249.10999999999</v>
      </c>
      <c r="G73" s="29">
        <f>C73-E73</f>
        <v>5691.7194988919946</v>
      </c>
      <c r="H73" s="43">
        <f>IFERROR(G73/E73,0)</f>
        <v>3.9243283883643454E-2</v>
      </c>
      <c r="I73" s="29">
        <f>C73-D73</f>
        <v>-3793.3671437290031</v>
      </c>
      <c r="J73" s="44">
        <f>'Raw - Workforce'!C41-'Raw - Workforce'!E41</f>
        <v>-0.48008256163030083</v>
      </c>
      <c r="K73" s="43">
        <f>IFERROR('Raw - Workforce'!K41/'Raw - Workforce'!G41,0)</f>
        <v>0.20837115844825529</v>
      </c>
    </row>
    <row r="74" spans="1:11" x14ac:dyDescent="0.75">
      <c r="A74" s="2" t="str">
        <f>'Raw - Workforce'!A17</f>
        <v>Location 1</v>
      </c>
      <c r="B74" s="2" t="str">
        <f>'Raw - Workforce'!B17</f>
        <v>Position P</v>
      </c>
      <c r="C74" s="29">
        <f>'Raw - Workforce'!G17+'Raw - Workforce'!K17</f>
        <v>434030.35292934469</v>
      </c>
      <c r="D74" s="29">
        <f>'Raw - Workforce'!H17+'Raw - Workforce'!L17</f>
        <v>434030.35292934469</v>
      </c>
      <c r="E74" s="29">
        <f>'Raw - Workforce'!I17+'Raw - Workforce'!M17</f>
        <v>428101.37608240673</v>
      </c>
      <c r="F74" s="29">
        <f>'Raw - Workforce'!J17+'Raw - Workforce'!N17</f>
        <v>434208.23</v>
      </c>
      <c r="G74" s="29">
        <f>C74-E74</f>
        <v>5928.9768469379633</v>
      </c>
      <c r="H74" s="43">
        <f>IFERROR(G74/E74,0)</f>
        <v>1.3849469257012324E-2</v>
      </c>
      <c r="I74" s="29">
        <f>C74-D74</f>
        <v>0</v>
      </c>
      <c r="J74" s="44">
        <f>'Raw - Workforce'!C17-'Raw - Workforce'!E17</f>
        <v>5.6962067220180046</v>
      </c>
      <c r="K74" s="43">
        <f>IFERROR('Raw - Workforce'!K17/'Raw - Workforce'!G17,0)</f>
        <v>0.13695899703102885</v>
      </c>
    </row>
    <row r="75" spans="1:11" x14ac:dyDescent="0.75">
      <c r="A75" s="2" t="str">
        <f>'Raw - Workforce'!A18</f>
        <v>Location 1</v>
      </c>
      <c r="B75" s="2" t="str">
        <f>'Raw - Workforce'!B18</f>
        <v>Position Q</v>
      </c>
      <c r="C75" s="29">
        <f>'Raw - Workforce'!G18+'Raw - Workforce'!K18</f>
        <v>28489.166231515399</v>
      </c>
      <c r="D75" s="29">
        <f>'Raw - Workforce'!H18+'Raw - Workforce'!L18</f>
        <v>28489.166231515399</v>
      </c>
      <c r="E75" s="29">
        <f>'Raw - Workforce'!I18+'Raw - Workforce'!M18</f>
        <v>22429.331783591901</v>
      </c>
      <c r="F75" s="29">
        <f>'Raw - Workforce'!J18+'Raw - Workforce'!N18</f>
        <v>29615.489999999998</v>
      </c>
      <c r="G75" s="29">
        <f>C75-E75</f>
        <v>6059.8344479234984</v>
      </c>
      <c r="H75" s="43">
        <f>IFERROR(G75/E75,0)</f>
        <v>0.27017454226418591</v>
      </c>
      <c r="I75" s="29">
        <f>C75-D75</f>
        <v>0</v>
      </c>
      <c r="J75" s="44">
        <f>'Raw - Workforce'!C18-'Raw - Workforce'!E18</f>
        <v>1.63</v>
      </c>
      <c r="K75" s="43">
        <f>IFERROR('Raw - Workforce'!K18/'Raw - Workforce'!G18,0)</f>
        <v>6.8083570000712454E-2</v>
      </c>
    </row>
    <row r="76" spans="1:11" x14ac:dyDescent="0.75">
      <c r="A76" s="2" t="str">
        <f>'Raw - Workforce'!A42</f>
        <v>Location 2</v>
      </c>
      <c r="B76" s="2" t="str">
        <f>'Raw - Workforce'!B42</f>
        <v>Position O</v>
      </c>
      <c r="C76" s="29">
        <f>'Raw - Workforce'!G42+'Raw - Workforce'!K42</f>
        <v>266548.21223717177</v>
      </c>
      <c r="D76" s="29">
        <f>'Raw - Workforce'!H42+'Raw - Workforce'!L42</f>
        <v>301747.58923739276</v>
      </c>
      <c r="E76" s="29">
        <f>'Raw - Workforce'!I42+'Raw - Workforce'!M42</f>
        <v>260396.2978184188</v>
      </c>
      <c r="F76" s="29">
        <f>'Raw - Workforce'!J42+'Raw - Workforce'!N42</f>
        <v>246437.22999999998</v>
      </c>
      <c r="G76" s="29">
        <f>C76-E76</f>
        <v>6151.9144187529746</v>
      </c>
      <c r="H76" s="43">
        <f>IFERROR(G76/E76,0)</f>
        <v>2.3625199245508731E-2</v>
      </c>
      <c r="I76" s="29">
        <f>C76-D76</f>
        <v>-35199.377000220993</v>
      </c>
      <c r="J76" s="44">
        <f>'Raw - Workforce'!C42-'Raw - Workforce'!E42</f>
        <v>0.44403653340240368</v>
      </c>
      <c r="K76" s="43">
        <f>IFERROR('Raw - Workforce'!K42/'Raw - Workforce'!G42,0)</f>
        <v>0.182427308451651</v>
      </c>
    </row>
    <row r="77" spans="1:11" x14ac:dyDescent="0.75">
      <c r="A77" s="2" t="str">
        <f>'Raw - Workforce'!A66</f>
        <v>Location 3</v>
      </c>
      <c r="B77" s="2" t="str">
        <f>'Raw - Workforce'!B66</f>
        <v>Position M</v>
      </c>
      <c r="C77" s="29">
        <f>'Raw - Workforce'!G66+'Raw - Workforce'!K66</f>
        <v>198153.9817043462</v>
      </c>
      <c r="D77" s="29">
        <f>'Raw - Workforce'!H66+'Raw - Workforce'!L66</f>
        <v>196950.39226383658</v>
      </c>
      <c r="E77" s="29">
        <f>'Raw - Workforce'!I66+'Raw - Workforce'!M66</f>
        <v>191569.57201942979</v>
      </c>
      <c r="F77" s="29">
        <f>'Raw - Workforce'!J66+'Raw - Workforce'!N66</f>
        <v>181355.16999999998</v>
      </c>
      <c r="G77" s="29">
        <f>C77-E77</f>
        <v>6584.4096849164052</v>
      </c>
      <c r="H77" s="43">
        <f>IFERROR(G77/E77,0)</f>
        <v>3.437085344768942E-2</v>
      </c>
      <c r="I77" s="29">
        <f>C77-D77</f>
        <v>1203.5894405096187</v>
      </c>
      <c r="J77" s="44">
        <f>'Raw - Workforce'!C66-'Raw - Workforce'!E66</f>
        <v>6.999166666666703</v>
      </c>
      <c r="K77" s="43">
        <f>IFERROR('Raw - Workforce'!K66/'Raw - Workforce'!G66,0)</f>
        <v>0.14877257061672255</v>
      </c>
    </row>
    <row r="78" spans="1:11" x14ac:dyDescent="0.75">
      <c r="A78" s="2" t="str">
        <f>'Raw - Workforce'!A15</f>
        <v>Location 1</v>
      </c>
      <c r="B78" s="2" t="str">
        <f>'Raw - Workforce'!B15</f>
        <v>Position N</v>
      </c>
      <c r="C78" s="29">
        <f>'Raw - Workforce'!G15+'Raw - Workforce'!K15</f>
        <v>125542.45234742801</v>
      </c>
      <c r="D78" s="29">
        <f>'Raw - Workforce'!H15+'Raw - Workforce'!L15</f>
        <v>125542.45234742801</v>
      </c>
      <c r="E78" s="29">
        <f>'Raw - Workforce'!I15+'Raw - Workforce'!M15</f>
        <v>118030.33356373302</v>
      </c>
      <c r="F78" s="29">
        <f>'Raw - Workforce'!J15+'Raw - Workforce'!N15</f>
        <v>126202.79000000001</v>
      </c>
      <c r="G78" s="29">
        <f>C78-E78</f>
        <v>7512.1187836949975</v>
      </c>
      <c r="H78" s="43">
        <f>IFERROR(G78/E78,0)</f>
        <v>6.3645662575702769E-2</v>
      </c>
      <c r="I78" s="29">
        <f>C78-D78</f>
        <v>0</v>
      </c>
      <c r="J78" s="44">
        <f>'Raw - Workforce'!C15-'Raw - Workforce'!E15</f>
        <v>-0.31645811135440027</v>
      </c>
      <c r="K78" s="43">
        <f>IFERROR('Raw - Workforce'!K15/'Raw - Workforce'!G15,0)</f>
        <v>8.4088485349402248E-2</v>
      </c>
    </row>
    <row r="79" spans="1:11" x14ac:dyDescent="0.75">
      <c r="A79" s="2" t="str">
        <f>'Raw - Workforce'!A14</f>
        <v>Location 1</v>
      </c>
      <c r="B79" s="2" t="str">
        <f>'Raw - Workforce'!B14</f>
        <v>Position M</v>
      </c>
      <c r="C79" s="29">
        <f>'Raw - Workforce'!G14+'Raw - Workforce'!K14</f>
        <v>114442.75323736254</v>
      </c>
      <c r="D79" s="29">
        <f>'Raw - Workforce'!H14+'Raw - Workforce'!L14</f>
        <v>114442.75323736254</v>
      </c>
      <c r="E79" s="29">
        <f>'Raw - Workforce'!I14+'Raw - Workforce'!M14</f>
        <v>106479.70818149365</v>
      </c>
      <c r="F79" s="29">
        <f>'Raw - Workforce'!J14+'Raw - Workforce'!N14</f>
        <v>137557.93</v>
      </c>
      <c r="G79" s="29">
        <f>C79-E79</f>
        <v>7963.0450558688899</v>
      </c>
      <c r="H79" s="43">
        <f>IFERROR(G79/E79,0)</f>
        <v>7.4784625088340356E-2</v>
      </c>
      <c r="I79" s="29">
        <f>C79-D79</f>
        <v>0</v>
      </c>
      <c r="J79" s="44">
        <f>'Raw - Workforce'!C14-'Raw - Workforce'!E14</f>
        <v>-3.1856208029447011</v>
      </c>
      <c r="K79" s="43">
        <f>IFERROR('Raw - Workforce'!K14/'Raw - Workforce'!G14,0)</f>
        <v>9.469484042013912E-2</v>
      </c>
    </row>
    <row r="80" spans="1:11" x14ac:dyDescent="0.75">
      <c r="A80" s="2" t="str">
        <f>'Raw - Workforce'!A68</f>
        <v>Location 3</v>
      </c>
      <c r="B80" s="2" t="str">
        <f>'Raw - Workforce'!B68</f>
        <v>Position O</v>
      </c>
      <c r="C80" s="29">
        <f>'Raw - Workforce'!G68+'Raw - Workforce'!K68</f>
        <v>263568.77054222842</v>
      </c>
      <c r="D80" s="29">
        <f>'Raw - Workforce'!H68+'Raw - Workforce'!L68</f>
        <v>282160.52923350851</v>
      </c>
      <c r="E80" s="29">
        <f>'Raw - Workforce'!I68+'Raw - Workforce'!M68</f>
        <v>253369.10011268803</v>
      </c>
      <c r="F80" s="29">
        <f>'Raw - Workforce'!J68+'Raw - Workforce'!N68</f>
        <v>326565.90000000002</v>
      </c>
      <c r="G80" s="29">
        <f>C80-E80</f>
        <v>10199.670429540391</v>
      </c>
      <c r="H80" s="43">
        <f>IFERROR(G80/E80,0)</f>
        <v>4.0256173404744314E-2</v>
      </c>
      <c r="I80" s="29">
        <f>C80-D80</f>
        <v>-18591.758691280091</v>
      </c>
      <c r="J80" s="44">
        <f>'Raw - Workforce'!C68-'Raw - Workforce'!E68</f>
        <v>-7.3686547360215968</v>
      </c>
      <c r="K80" s="43">
        <f>IFERROR('Raw - Workforce'!K68/'Raw - Workforce'!G68,0)</f>
        <v>9.2254633651074239E-2</v>
      </c>
    </row>
    <row r="81" spans="1:11" x14ac:dyDescent="0.75">
      <c r="A81" s="2" t="str">
        <f>'Raw - Workforce'!A46</f>
        <v>Location 2</v>
      </c>
      <c r="B81" s="2" t="str">
        <f>'Raw - Workforce'!B46</f>
        <v>Position S</v>
      </c>
      <c r="C81" s="29">
        <f>'Raw - Workforce'!G46+'Raw - Workforce'!K46</f>
        <v>257812.5</v>
      </c>
      <c r="D81" s="29">
        <f>'Raw - Workforce'!H46+'Raw - Workforce'!L46</f>
        <v>246806.39999999999</v>
      </c>
      <c r="E81" s="29">
        <f>'Raw - Workforce'!I46+'Raw - Workforce'!M46</f>
        <v>247554.34419741199</v>
      </c>
      <c r="F81" s="29">
        <f>'Raw - Workforce'!J46+'Raw - Workforce'!N46</f>
        <v>243641.03</v>
      </c>
      <c r="G81" s="29">
        <f>C81-E81</f>
        <v>10258.155802588008</v>
      </c>
      <c r="H81" s="43">
        <f>IFERROR(G81/E81,0)</f>
        <v>4.1437995506989164E-2</v>
      </c>
      <c r="I81" s="29">
        <f>C81-D81</f>
        <v>11006.100000000006</v>
      </c>
      <c r="J81" s="44">
        <f>'Raw - Workforce'!C46-'Raw - Workforce'!E46</f>
        <v>-1.4209999999999994</v>
      </c>
      <c r="K81" s="43">
        <f>IFERROR('Raw - Workforce'!K46/'Raw - Workforce'!G46,0)</f>
        <v>0</v>
      </c>
    </row>
    <row r="82" spans="1:11" x14ac:dyDescent="0.75">
      <c r="A82" s="2" t="str">
        <f>'Raw - Workforce'!A90</f>
        <v>Location 4</v>
      </c>
      <c r="B82" s="2" t="str">
        <f>'Raw - Workforce'!B90</f>
        <v>Position K</v>
      </c>
      <c r="C82" s="29">
        <f>'Raw - Workforce'!G90+'Raw - Workforce'!K90</f>
        <v>772021.51080960303</v>
      </c>
      <c r="D82" s="29">
        <f>'Raw - Workforce'!H90+'Raw - Workforce'!L90</f>
        <v>745059.51080960303</v>
      </c>
      <c r="E82" s="29">
        <f>'Raw - Workforce'!I90+'Raw - Workforce'!M90</f>
        <v>759021.51080960303</v>
      </c>
      <c r="F82" s="29">
        <f>'Raw - Workforce'!J90+'Raw - Workforce'!N90</f>
        <v>756269.84000000008</v>
      </c>
      <c r="G82" s="29">
        <f>C82-E82</f>
        <v>13000</v>
      </c>
      <c r="H82" s="43">
        <f>IFERROR(G82/E82,0)</f>
        <v>1.7127314331491967E-2</v>
      </c>
      <c r="I82" s="29">
        <f>C82-D82</f>
        <v>26962</v>
      </c>
      <c r="J82" s="44">
        <f>'Raw - Workforce'!C90-'Raw - Workforce'!E90</f>
        <v>-16</v>
      </c>
      <c r="K82" s="43">
        <f>IFERROR('Raw - Workforce'!K90/'Raw - Workforce'!G90,0)</f>
        <v>0.11351870516344872</v>
      </c>
    </row>
    <row r="83" spans="1:11" x14ac:dyDescent="0.75">
      <c r="A83" s="2" t="str">
        <f>'Raw - Workforce'!A75</f>
        <v>Location 3</v>
      </c>
      <c r="B83" s="2" t="str">
        <f>'Raw - Workforce'!B75</f>
        <v>Position V</v>
      </c>
      <c r="C83" s="29">
        <f>'Raw - Workforce'!G75+'Raw - Workforce'!K75</f>
        <v>197458.15669291301</v>
      </c>
      <c r="D83" s="29">
        <f>'Raw - Workforce'!H75+'Raw - Workforce'!L75</f>
        <v>197458.15669291301</v>
      </c>
      <c r="E83" s="29">
        <f>'Raw - Workforce'!I75+'Raw - Workforce'!M75</f>
        <v>182493.72002603899</v>
      </c>
      <c r="F83" s="29">
        <f>'Raw - Workforce'!J75+'Raw - Workforce'!N75</f>
        <v>179905.12</v>
      </c>
      <c r="G83" s="29">
        <f>C83-E83</f>
        <v>14964.436666874011</v>
      </c>
      <c r="H83" s="43">
        <f>IFERROR(G83/E83,0)</f>
        <v>8.1999734920954109E-2</v>
      </c>
      <c r="I83" s="29">
        <f>C83-D83</f>
        <v>0</v>
      </c>
      <c r="J83" s="44">
        <f>'Raw - Workforce'!C75-'Raw - Workforce'!E75</f>
        <v>1.4200000000000017</v>
      </c>
      <c r="K83" s="43">
        <f>IFERROR('Raw - Workforce'!K75/'Raw - Workforce'!G75,0)</f>
        <v>0</v>
      </c>
    </row>
    <row r="84" spans="1:11" x14ac:dyDescent="0.75">
      <c r="A84" s="2" t="str">
        <f>'Raw - Workforce'!A36</f>
        <v>Location 2</v>
      </c>
      <c r="B84" s="2" t="str">
        <f>'Raw - Workforce'!B36</f>
        <v>Position I</v>
      </c>
      <c r="C84" s="29">
        <f>'Raw - Workforce'!G36+'Raw - Workforce'!K36</f>
        <v>115543.82643824221</v>
      </c>
      <c r="D84" s="29">
        <f>'Raw - Workforce'!H36+'Raw - Workforce'!L36</f>
        <v>114152.93022468421</v>
      </c>
      <c r="E84" s="29">
        <f>'Raw - Workforce'!I36+'Raw - Workforce'!M36</f>
        <v>99170.395976242202</v>
      </c>
      <c r="F84" s="29">
        <f>'Raw - Workforce'!J36+'Raw - Workforce'!N36</f>
        <v>90146.44</v>
      </c>
      <c r="G84" s="29">
        <f>C84-E84</f>
        <v>16373.430462000004</v>
      </c>
      <c r="H84" s="43">
        <f>IFERROR(G84/E84,0)</f>
        <v>0.16510401416489767</v>
      </c>
      <c r="I84" s="29">
        <f>C84-D84</f>
        <v>1390.8962135579932</v>
      </c>
      <c r="J84" s="44">
        <f>'Raw - Workforce'!C36-'Raw - Workforce'!E36</f>
        <v>5.3000000000000007</v>
      </c>
      <c r="K84" s="43">
        <f>IFERROR('Raw - Workforce'!K36/'Raw - Workforce'!G36,0)</f>
        <v>0.10491598114458582</v>
      </c>
    </row>
    <row r="85" spans="1:11" x14ac:dyDescent="0.75">
      <c r="A85" s="2" t="str">
        <f>'Raw - Workforce'!A45</f>
        <v>Location 2</v>
      </c>
      <c r="B85" s="2" t="str">
        <f>'Raw - Workforce'!B45</f>
        <v>Position R</v>
      </c>
      <c r="C85" s="29">
        <f>'Raw - Workforce'!G45+'Raw - Workforce'!K45</f>
        <v>69469.912266705971</v>
      </c>
      <c r="D85" s="29">
        <f>'Raw - Workforce'!H45+'Raw - Workforce'!L45</f>
        <v>62811.912226962573</v>
      </c>
      <c r="E85" s="29">
        <f>'Raw - Workforce'!I45+'Raw - Workforce'!M45</f>
        <v>52085.814349687374</v>
      </c>
      <c r="F85" s="29">
        <f>'Raw - Workforce'!J45+'Raw - Workforce'!N45</f>
        <v>57997.94</v>
      </c>
      <c r="G85" s="29">
        <f>C85-E85</f>
        <v>17384.097917018596</v>
      </c>
      <c r="H85" s="43">
        <f>IFERROR(G85/E85,0)</f>
        <v>0.33375878123566166</v>
      </c>
      <c r="I85" s="29">
        <f>C85-D85</f>
        <v>6658.0000397433978</v>
      </c>
      <c r="J85" s="44">
        <f>'Raw - Workforce'!C45-'Raw - Workforce'!E45</f>
        <v>4.8260785331372009</v>
      </c>
      <c r="K85" s="43">
        <f>IFERROR('Raw - Workforce'!K45/'Raw - Workforce'!G45,0)</f>
        <v>0.15289495064211547</v>
      </c>
    </row>
    <row r="86" spans="1:11" x14ac:dyDescent="0.75">
      <c r="A86" s="2" t="str">
        <f>'Raw - Workforce'!A74</f>
        <v>Location 3</v>
      </c>
      <c r="B86" s="2" t="str">
        <f>'Raw - Workforce'!B74</f>
        <v>Position U</v>
      </c>
      <c r="C86" s="29">
        <f>'Raw - Workforce'!G74+'Raw - Workforce'!K74</f>
        <v>331797.69279112801</v>
      </c>
      <c r="D86" s="29">
        <f>'Raw - Workforce'!H74+'Raw - Workforce'!L74</f>
        <v>331797.69279112801</v>
      </c>
      <c r="E86" s="29">
        <f>'Raw - Workforce'!I74+'Raw - Workforce'!M74</f>
        <v>313490.64762449602</v>
      </c>
      <c r="F86" s="29">
        <f>'Raw - Workforce'!J74+'Raw - Workforce'!N74</f>
        <v>250645.58</v>
      </c>
      <c r="G86" s="29">
        <f>C86-E86</f>
        <v>18307.045166631986</v>
      </c>
      <c r="H86" s="43">
        <f>IFERROR(G86/E86,0)</f>
        <v>5.8397420482414038E-2</v>
      </c>
      <c r="I86" s="29">
        <f>C86-D86</f>
        <v>0</v>
      </c>
      <c r="J86" s="44">
        <f>'Raw - Workforce'!C74-'Raw - Workforce'!E74</f>
        <v>1.5500000000000007</v>
      </c>
      <c r="K86" s="43">
        <f>IFERROR('Raw - Workforce'!K74/'Raw - Workforce'!G74,0)</f>
        <v>0</v>
      </c>
    </row>
    <row r="87" spans="1:11" x14ac:dyDescent="0.75">
      <c r="A87" s="2" t="str">
        <f>'Raw - Workforce'!A47</f>
        <v>Location 2</v>
      </c>
      <c r="B87" s="2" t="str">
        <f>'Raw - Workforce'!B47</f>
        <v>Position T</v>
      </c>
      <c r="C87" s="29">
        <f>'Raw - Workforce'!G47+'Raw - Workforce'!K47</f>
        <v>1279727.1118907472</v>
      </c>
      <c r="D87" s="29">
        <f>'Raw - Workforce'!H47+'Raw - Workforce'!L47</f>
        <v>1307958.823302397</v>
      </c>
      <c r="E87" s="29">
        <f>'Raw - Workforce'!I47+'Raw - Workforce'!M47</f>
        <v>1260720.1024539871</v>
      </c>
      <c r="F87" s="29">
        <f>'Raw - Workforce'!J47+'Raw - Workforce'!N47</f>
        <v>1254842.42</v>
      </c>
      <c r="G87" s="29">
        <f>C87-E87</f>
        <v>19007.009436760098</v>
      </c>
      <c r="H87" s="43">
        <f>IFERROR(G87/E87,0)</f>
        <v>1.507631186316695E-2</v>
      </c>
      <c r="I87" s="29">
        <f>C87-D87</f>
        <v>-28231.711411649827</v>
      </c>
      <c r="J87" s="44">
        <f>'Raw - Workforce'!C47-'Raw - Workforce'!E47</f>
        <v>-5.6585331957610379</v>
      </c>
      <c r="K87" s="43">
        <f>IFERROR('Raw - Workforce'!K47/'Raw - Workforce'!G47,0)</f>
        <v>0.11852068004114104</v>
      </c>
    </row>
    <row r="88" spans="1:11" x14ac:dyDescent="0.75">
      <c r="A88" s="2" t="str">
        <f>'Raw - Workforce'!A58</f>
        <v>Location 3</v>
      </c>
      <c r="B88" s="2" t="str">
        <f>'Raw - Workforce'!B58</f>
        <v>Position E</v>
      </c>
      <c r="C88" s="29">
        <f>'Raw - Workforce'!G58+'Raw - Workforce'!K58</f>
        <v>26121.668554627991</v>
      </c>
      <c r="D88" s="29">
        <f>'Raw - Workforce'!H58+'Raw - Workforce'!L58</f>
        <v>23077.738972349689</v>
      </c>
      <c r="E88" s="29">
        <f>'Raw - Workforce'!I58+'Raw - Workforce'!M58</f>
        <v>6737.2227182695588</v>
      </c>
      <c r="F88" s="29">
        <f>'Raw - Workforce'!J58+'Raw - Workforce'!N58</f>
        <v>12667</v>
      </c>
      <c r="G88" s="29">
        <f>C88-E88</f>
        <v>19384.445836358434</v>
      </c>
      <c r="H88" s="43">
        <f>IFERROR(G88/E88,0)</f>
        <v>2.877216124055535</v>
      </c>
      <c r="I88" s="29">
        <f>C88-D88</f>
        <v>3043.9295822783024</v>
      </c>
      <c r="J88" s="44">
        <f>'Raw - Workforce'!C58-'Raw - Workforce'!E58</f>
        <v>4.64437017349971</v>
      </c>
      <c r="K88" s="43">
        <f>IFERROR('Raw - Workforce'!K58/'Raw - Workforce'!G58,0)</f>
        <v>0.11911227880589473</v>
      </c>
    </row>
    <row r="89" spans="1:11" x14ac:dyDescent="0.75">
      <c r="A89" s="2" t="str">
        <f>'Raw - Workforce'!A67</f>
        <v>Location 3</v>
      </c>
      <c r="B89" s="2" t="str">
        <f>'Raw - Workforce'!B67</f>
        <v>Position N</v>
      </c>
      <c r="C89" s="29">
        <f>'Raw - Workforce'!G67+'Raw - Workforce'!K67</f>
        <v>198027.7129151962</v>
      </c>
      <c r="D89" s="29">
        <f>'Raw - Workforce'!H67+'Raw - Workforce'!L67</f>
        <v>198683.17449253972</v>
      </c>
      <c r="E89" s="29">
        <f>'Raw - Workforce'!I67+'Raw - Workforce'!M67</f>
        <v>178449.73705513269</v>
      </c>
      <c r="F89" s="29">
        <f>'Raw - Workforce'!J67+'Raw - Workforce'!N67</f>
        <v>197621.76000000001</v>
      </c>
      <c r="G89" s="29">
        <f>C89-E89</f>
        <v>19577.97586006351</v>
      </c>
      <c r="H89" s="43">
        <f>IFERROR(G89/E89,0)</f>
        <v>0.10971143013797115</v>
      </c>
      <c r="I89" s="29">
        <f>C89-D89</f>
        <v>-655.46157734352164</v>
      </c>
      <c r="J89" s="44">
        <f>'Raw - Workforce'!C67-'Raw - Workforce'!E67</f>
        <v>0.95916666666670025</v>
      </c>
      <c r="K89" s="43">
        <f>IFERROR('Raw - Workforce'!K67/'Raw - Workforce'!G67,0)</f>
        <v>0.11775847500131367</v>
      </c>
    </row>
    <row r="90" spans="1:11" x14ac:dyDescent="0.75">
      <c r="A90" s="2" t="str">
        <f>'Raw - Workforce'!A59</f>
        <v>Location 3</v>
      </c>
      <c r="B90" s="2" t="str">
        <f>'Raw - Workforce'!B59</f>
        <v>Position F</v>
      </c>
      <c r="C90" s="29">
        <f>'Raw - Workforce'!G59+'Raw - Workforce'!K59</f>
        <v>40050.51771761389</v>
      </c>
      <c r="D90" s="29">
        <f>'Raw - Workforce'!H59+'Raw - Workforce'!L59</f>
        <v>41652.538426318453</v>
      </c>
      <c r="E90" s="29">
        <f>'Raw - Workforce'!I59+'Raw - Workforce'!M59</f>
        <v>19131.82514498258</v>
      </c>
      <c r="F90" s="29">
        <f>'Raw - Workforce'!J59+'Raw - Workforce'!N59</f>
        <v>13445.28</v>
      </c>
      <c r="G90" s="29">
        <f>C90-E90</f>
        <v>20918.692572631309</v>
      </c>
      <c r="H90" s="43">
        <f>IFERROR(G90/E90,0)</f>
        <v>1.0933976457608041</v>
      </c>
      <c r="I90" s="29">
        <f>C90-D90</f>
        <v>-1602.0207087045637</v>
      </c>
      <c r="J90" s="44">
        <f>'Raw - Workforce'!C59-'Raw - Workforce'!E59</f>
        <v>7.17</v>
      </c>
      <c r="K90" s="43">
        <f>IFERROR('Raw - Workforce'!K59/'Raw - Workforce'!G59,0)</f>
        <v>0.11910208960274013</v>
      </c>
    </row>
    <row r="91" spans="1:11" x14ac:dyDescent="0.75">
      <c r="A91" s="2" t="str">
        <f>'Raw - Workforce'!A32</f>
        <v>Location 2</v>
      </c>
      <c r="B91" s="2" t="str">
        <f>'Raw - Workforce'!B32</f>
        <v>Position E</v>
      </c>
      <c r="C91" s="29">
        <f>'Raw - Workforce'!G32+'Raw - Workforce'!K32</f>
        <v>124442.6165899068</v>
      </c>
      <c r="D91" s="29">
        <f>'Raw - Workforce'!H32+'Raw - Workforce'!L32</f>
        <v>124442.6165899068</v>
      </c>
      <c r="E91" s="29">
        <f>'Raw - Workforce'!I32+'Raw - Workforce'!M32</f>
        <v>102515.38401771549</v>
      </c>
      <c r="F91" s="29">
        <f>'Raw - Workforce'!J32+'Raw - Workforce'!N32</f>
        <v>109955.78</v>
      </c>
      <c r="G91" s="29">
        <f>C91-E91</f>
        <v>21927.232572191308</v>
      </c>
      <c r="H91" s="43">
        <f>IFERROR(G91/E91,0)</f>
        <v>0.21389211758112425</v>
      </c>
      <c r="I91" s="29">
        <f>C91-D91</f>
        <v>0</v>
      </c>
      <c r="J91" s="44">
        <f>'Raw - Workforce'!C32-'Raw - Workforce'!E32</f>
        <v>6.0399999999999991</v>
      </c>
      <c r="K91" s="43">
        <f>IFERROR('Raw - Workforce'!K32/'Raw - Workforce'!G32,0)</f>
        <v>6.8174490839435817E-2</v>
      </c>
    </row>
    <row r="92" spans="1:11" x14ac:dyDescent="0.75">
      <c r="A92" s="2" t="str">
        <f>'Raw - Workforce'!A71</f>
        <v>Location 3</v>
      </c>
      <c r="B92" s="2" t="str">
        <f>'Raw - Workforce'!B71</f>
        <v>Position R</v>
      </c>
      <c r="C92" s="29">
        <f>'Raw - Workforce'!G71+'Raw - Workforce'!K71</f>
        <v>150267.6925873842</v>
      </c>
      <c r="D92" s="29">
        <f>'Raw - Workforce'!H71+'Raw - Workforce'!L71</f>
        <v>150267.6925873842</v>
      </c>
      <c r="E92" s="29">
        <f>'Raw - Workforce'!I71+'Raw - Workforce'!M71</f>
        <v>125745.06283374692</v>
      </c>
      <c r="F92" s="29">
        <f>'Raw - Workforce'!J71+'Raw - Workforce'!N71</f>
        <v>98598.43</v>
      </c>
      <c r="G92" s="29">
        <f>C92-E92</f>
        <v>24522.629753637273</v>
      </c>
      <c r="H92" s="43">
        <f>IFERROR(G92/E92,0)</f>
        <v>0.19501862897042502</v>
      </c>
      <c r="I92" s="29">
        <f>C92-D92</f>
        <v>0</v>
      </c>
      <c r="J92" s="44">
        <f>'Raw - Workforce'!C71-'Raw - Workforce'!E71</f>
        <v>13</v>
      </c>
      <c r="K92" s="43">
        <f>IFERROR('Raw - Workforce'!K71/'Raw - Workforce'!G71,0)</f>
        <v>3.8867640885607194E-2</v>
      </c>
    </row>
    <row r="93" spans="1:11" x14ac:dyDescent="0.75">
      <c r="A93" s="2" t="str">
        <f>'Raw - Workforce'!A93</f>
        <v>Location 4</v>
      </c>
      <c r="B93" s="2" t="str">
        <f>'Raw - Workforce'!B93</f>
        <v>Position N</v>
      </c>
      <c r="C93" s="29">
        <f>'Raw - Workforce'!G93+'Raw - Workforce'!K93</f>
        <v>369580.41652405297</v>
      </c>
      <c r="D93" s="29">
        <f>'Raw - Workforce'!H93+'Raw - Workforce'!L93</f>
        <v>367580.41652405297</v>
      </c>
      <c r="E93" s="29">
        <f>'Raw - Workforce'!I93+'Raw - Workforce'!M93</f>
        <v>345037.898950573</v>
      </c>
      <c r="F93" s="29">
        <f>'Raw - Workforce'!J93+'Raw - Workforce'!N93</f>
        <v>330049.91000000003</v>
      </c>
      <c r="G93" s="29">
        <f>C93-E93</f>
        <v>24542.51757347997</v>
      </c>
      <c r="H93" s="43">
        <f>IFERROR(G93/E93,0)</f>
        <v>7.1129918331075015E-2</v>
      </c>
      <c r="I93" s="29">
        <f>C93-D93</f>
        <v>2000</v>
      </c>
      <c r="J93" s="44">
        <f>'Raw - Workforce'!C93-'Raw - Workforce'!E93</f>
        <v>1.177500000000002</v>
      </c>
      <c r="K93" s="43">
        <f>IFERROR('Raw - Workforce'!K93/'Raw - Workforce'!G93,0)</f>
        <v>0.15231487614952305</v>
      </c>
    </row>
    <row r="94" spans="1:11" x14ac:dyDescent="0.75">
      <c r="A94" s="2" t="str">
        <f>'Raw - Workforce'!A35</f>
        <v>Location 2</v>
      </c>
      <c r="B94" s="2" t="str">
        <f>'Raw - Workforce'!B35</f>
        <v>Position H</v>
      </c>
      <c r="C94" s="29">
        <f>'Raw - Workforce'!G35+'Raw - Workforce'!K35</f>
        <v>834644.41519492143</v>
      </c>
      <c r="D94" s="29">
        <f>'Raw - Workforce'!H35+'Raw - Workforce'!L35</f>
        <v>815506.41108411946</v>
      </c>
      <c r="E94" s="29">
        <f>'Raw - Workforce'!I35+'Raw - Workforce'!M35</f>
        <v>808116.48870470142</v>
      </c>
      <c r="F94" s="29">
        <f>'Raw - Workforce'!J35+'Raw - Workforce'!N35</f>
        <v>708649.9</v>
      </c>
      <c r="G94" s="29">
        <f>C94-E94</f>
        <v>26527.926490220008</v>
      </c>
      <c r="H94" s="43">
        <f>IFERROR(G94/E94,0)</f>
        <v>3.2826859569145279E-2</v>
      </c>
      <c r="I94" s="29">
        <f>C94-D94</f>
        <v>19138.004110801965</v>
      </c>
      <c r="J94" s="44">
        <f>'Raw - Workforce'!C35-'Raw - Workforce'!E35</f>
        <v>9.8000000000000114</v>
      </c>
      <c r="K94" s="43">
        <f>IFERROR('Raw - Workforce'!K35/'Raw - Workforce'!G35,0)</f>
        <v>7.6254039762661513E-2</v>
      </c>
    </row>
    <row r="95" spans="1:11" x14ac:dyDescent="0.75">
      <c r="A95" s="2" t="str">
        <f>'Raw - Workforce'!A9</f>
        <v>Location 1</v>
      </c>
      <c r="B95" s="2" t="str">
        <f>'Raw - Workforce'!B9</f>
        <v>Position H</v>
      </c>
      <c r="C95" s="29">
        <f>'Raw - Workforce'!G9+'Raw - Workforce'!K9</f>
        <v>711646.15582863754</v>
      </c>
      <c r="D95" s="29">
        <f>'Raw - Workforce'!H9+'Raw - Workforce'!L9</f>
        <v>695743.37719661463</v>
      </c>
      <c r="E95" s="29">
        <f>'Raw - Workforce'!I9+'Raw - Workforce'!M9</f>
        <v>684432.0261942381</v>
      </c>
      <c r="F95" s="29">
        <f>'Raw - Workforce'!J9+'Raw - Workforce'!N9</f>
        <v>629599.17000000004</v>
      </c>
      <c r="G95" s="29">
        <f>C95-E95</f>
        <v>27214.129634399433</v>
      </c>
      <c r="H95" s="43">
        <f>IFERROR(G95/E95,0)</f>
        <v>3.9761625103551496E-2</v>
      </c>
      <c r="I95" s="29">
        <f>C95-D95</f>
        <v>15902.778632022906</v>
      </c>
      <c r="J95" s="44">
        <f>'Raw - Workforce'!C9-'Raw - Workforce'!E9</f>
        <v>10.774831127115988</v>
      </c>
      <c r="K95" s="43">
        <f>IFERROR('Raw - Workforce'!K9/'Raw - Workforce'!G9,0)</f>
        <v>0.13740779489311897</v>
      </c>
    </row>
    <row r="96" spans="1:11" x14ac:dyDescent="0.75">
      <c r="A96" s="2" t="str">
        <f>'Raw - Workforce'!A76</f>
        <v>Location 3</v>
      </c>
      <c r="B96" s="2" t="str">
        <f>'Raw - Workforce'!B76</f>
        <v>Position W</v>
      </c>
      <c r="C96" s="29">
        <f>'Raw - Workforce'!G76+'Raw - Workforce'!K76</f>
        <v>135786.09997399381</v>
      </c>
      <c r="D96" s="29">
        <f>'Raw - Workforce'!H76+'Raw - Workforce'!L76</f>
        <v>140723.77633668442</v>
      </c>
      <c r="E96" s="29">
        <f>'Raw - Workforce'!I76+'Raw - Workforce'!M76</f>
        <v>107476.316530635</v>
      </c>
      <c r="F96" s="29">
        <f>'Raw - Workforce'!J76+'Raw - Workforce'!N76</f>
        <v>191737.91</v>
      </c>
      <c r="G96" s="29">
        <f>C96-E96</f>
        <v>28309.783443358814</v>
      </c>
      <c r="H96" s="43">
        <f>IFERROR(G96/E96,0)</f>
        <v>0.26340485380599554</v>
      </c>
      <c r="I96" s="29">
        <f>C96-D96</f>
        <v>-4937.6763626906031</v>
      </c>
      <c r="J96" s="44">
        <f>'Raw - Workforce'!C76-'Raw - Workforce'!E76</f>
        <v>9.52</v>
      </c>
      <c r="K96" s="43">
        <f>IFERROR('Raw - Workforce'!K76/'Raw - Workforce'!G76,0)</f>
        <v>0.19994633557617777</v>
      </c>
    </row>
    <row r="97" spans="1:11" x14ac:dyDescent="0.75">
      <c r="A97" s="2" t="str">
        <f>'Raw - Workforce'!A98</f>
        <v>Location 4</v>
      </c>
      <c r="B97" s="2" t="str">
        <f>'Raw - Workforce'!B98</f>
        <v>Position S</v>
      </c>
      <c r="C97" s="29">
        <f>'Raw - Workforce'!G98+'Raw - Workforce'!K98</f>
        <v>368071.61833171698</v>
      </c>
      <c r="D97" s="29">
        <f>'Raw - Workforce'!H98+'Raw - Workforce'!L98</f>
        <v>366071.61833171698</v>
      </c>
      <c r="E97" s="29">
        <f>'Raw - Workforce'!I98+'Raw - Workforce'!M98</f>
        <v>336810.40300010802</v>
      </c>
      <c r="F97" s="29">
        <f>'Raw - Workforce'!J98+'Raw - Workforce'!N98</f>
        <v>299281.08</v>
      </c>
      <c r="G97" s="29">
        <f>C97-E97</f>
        <v>31261.215331608953</v>
      </c>
      <c r="H97" s="43">
        <f>IFERROR(G97/E97,0)</f>
        <v>9.2815468445013941E-2</v>
      </c>
      <c r="I97" s="29">
        <f>C97-D97</f>
        <v>2000</v>
      </c>
      <c r="J97" s="44">
        <f>'Raw - Workforce'!C98-'Raw - Workforce'!E98</f>
        <v>4.1999999999999957</v>
      </c>
      <c r="K97" s="43">
        <f>IFERROR('Raw - Workforce'!K98/'Raw - Workforce'!G98,0)</f>
        <v>0</v>
      </c>
    </row>
    <row r="98" spans="1:11" x14ac:dyDescent="0.75">
      <c r="A98" s="2" t="str">
        <f>'Raw - Workforce'!A48</f>
        <v>Location 2</v>
      </c>
      <c r="B98" s="2" t="str">
        <f>'Raw - Workforce'!B48</f>
        <v>Position U</v>
      </c>
      <c r="C98" s="29">
        <f>'Raw - Workforce'!G48+'Raw - Workforce'!K48</f>
        <v>202357.82671875</v>
      </c>
      <c r="D98" s="29">
        <f>'Raw - Workforce'!H48+'Raw - Workforce'!L48</f>
        <v>164849.2268558839</v>
      </c>
      <c r="E98" s="29">
        <f>'Raw - Workforce'!I48+'Raw - Workforce'!M48</f>
        <v>161886.261375</v>
      </c>
      <c r="F98" s="29">
        <f>'Raw - Workforce'!J48+'Raw - Workforce'!N48</f>
        <v>312663.28999999998</v>
      </c>
      <c r="G98" s="29">
        <f>C98-E98</f>
        <v>40471.56534375</v>
      </c>
      <c r="H98" s="43">
        <f>IFERROR(G98/E98,0)</f>
        <v>0.25</v>
      </c>
      <c r="I98" s="29">
        <f>C98-D98</f>
        <v>37508.599862866104</v>
      </c>
      <c r="J98" s="44">
        <f>'Raw - Workforce'!C48-'Raw - Workforce'!E48</f>
        <v>3.5</v>
      </c>
      <c r="K98" s="43">
        <f>IFERROR('Raw - Workforce'!K48/'Raw - Workforce'!G48,0)</f>
        <v>0</v>
      </c>
    </row>
    <row r="99" spans="1:11" x14ac:dyDescent="0.75">
      <c r="A99" s="2" t="str">
        <f>'Raw - Workforce'!A94</f>
        <v>Location 4</v>
      </c>
      <c r="B99" s="2" t="str">
        <f>'Raw - Workforce'!B94</f>
        <v>Position O</v>
      </c>
      <c r="C99" s="29">
        <f>'Raw - Workforce'!G94+'Raw - Workforce'!K94</f>
        <v>314685.07356640499</v>
      </c>
      <c r="D99" s="29">
        <f>'Raw - Workforce'!H94+'Raw - Workforce'!L94</f>
        <v>326685.55054474797</v>
      </c>
      <c r="E99" s="29">
        <f>'Raw - Workforce'!I94+'Raw - Workforce'!M94</f>
        <v>273965.39851307997</v>
      </c>
      <c r="F99" s="29">
        <f>'Raw - Workforce'!J94+'Raw - Workforce'!N94</f>
        <v>285391.58</v>
      </c>
      <c r="G99" s="29">
        <f>C99-E99</f>
        <v>40719.675053325016</v>
      </c>
      <c r="H99" s="43">
        <f>IFERROR(G99/E99,0)</f>
        <v>0.14863072225298163</v>
      </c>
      <c r="I99" s="29">
        <f>C99-D99</f>
        <v>-12000.47697834298</v>
      </c>
      <c r="J99" s="44">
        <f>'Raw - Workforce'!C94-'Raw - Workforce'!E94</f>
        <v>4.1944833333333023</v>
      </c>
      <c r="K99" s="43">
        <f>IFERROR('Raw - Workforce'!K94/'Raw - Workforce'!G94,0)</f>
        <v>0.12561243219695242</v>
      </c>
    </row>
    <row r="100" spans="1:11" x14ac:dyDescent="0.75">
      <c r="A100" s="2" t="str">
        <f>'Raw - Workforce'!A99</f>
        <v>Location 4</v>
      </c>
      <c r="B100" s="2" t="str">
        <f>'Raw - Workforce'!B99</f>
        <v>Position T</v>
      </c>
      <c r="C100" s="29">
        <f>'Raw - Workforce'!G99+'Raw - Workforce'!K99</f>
        <v>2256338.0474111</v>
      </c>
      <c r="D100" s="29">
        <f>'Raw - Workforce'!H99+'Raw - Workforce'!L99</f>
        <v>2285016.4028351801</v>
      </c>
      <c r="E100" s="29">
        <f>'Raw - Workforce'!I99+'Raw - Workforce'!M99</f>
        <v>2215244.20339143</v>
      </c>
      <c r="F100" s="29">
        <f>'Raw - Workforce'!J99+'Raw - Workforce'!N99</f>
        <v>2144592.13</v>
      </c>
      <c r="G100" s="29">
        <f>C100-E100</f>
        <v>41093.844019670039</v>
      </c>
      <c r="H100" s="43">
        <f>IFERROR(G100/E100,0)</f>
        <v>1.8550480329327747E-2</v>
      </c>
      <c r="I100" s="29">
        <f>C100-D100</f>
        <v>-28678.355424080044</v>
      </c>
      <c r="J100" s="44">
        <f>'Raw - Workforce'!C99-'Raw - Workforce'!E99</f>
        <v>2.5703166666669972</v>
      </c>
      <c r="K100" s="43">
        <f>IFERROR('Raw - Workforce'!K99/'Raw - Workforce'!G99,0)</f>
        <v>7.7708217454633244E-2</v>
      </c>
    </row>
    <row r="101" spans="1:11" x14ac:dyDescent="0.75">
      <c r="A101" s="2" t="str">
        <f>'Raw - Workforce'!A62</f>
        <v>Location 3</v>
      </c>
      <c r="B101" s="2" t="str">
        <f>'Raw - Workforce'!B62</f>
        <v>Position I</v>
      </c>
      <c r="C101" s="29">
        <f>'Raw - Workforce'!G62+'Raw - Workforce'!K62</f>
        <v>634823.00543946284</v>
      </c>
      <c r="D101" s="29">
        <f>'Raw - Workforce'!H62+'Raw - Workforce'!L62</f>
        <v>627452.40576303832</v>
      </c>
      <c r="E101" s="29">
        <f>'Raw - Workforce'!I62+'Raw - Workforce'!M62</f>
        <v>589056.97007229237</v>
      </c>
      <c r="F101" s="29">
        <f>'Raw - Workforce'!J62+'Raw - Workforce'!N62</f>
        <v>586338.61</v>
      </c>
      <c r="G101" s="29">
        <f>C101-E101</f>
        <v>45766.035367170465</v>
      </c>
      <c r="H101" s="43">
        <f>IFERROR(G101/E101,0)</f>
        <v>7.7693733700415768E-2</v>
      </c>
      <c r="I101" s="29">
        <f>C101-D101</f>
        <v>7370.599676424521</v>
      </c>
      <c r="J101" s="44">
        <f>'Raw - Workforce'!C62-'Raw - Workforce'!E62</f>
        <v>-11.780000000000001</v>
      </c>
      <c r="K101" s="43">
        <f>IFERROR('Raw - Workforce'!K62/'Raw - Workforce'!G62,0)</f>
        <v>0.11921870053994046</v>
      </c>
    </row>
    <row r="102" spans="1:11" x14ac:dyDescent="0.75">
      <c r="A102" s="2" t="str">
        <f>'Raw - Workforce'!A51</f>
        <v>Location 2</v>
      </c>
      <c r="B102" s="2" t="str">
        <f>'Raw - Workforce'!B51</f>
        <v>Position X</v>
      </c>
      <c r="C102" s="29">
        <f>'Raw - Workforce'!G51+'Raw - Workforce'!K51</f>
        <v>743584.25230562501</v>
      </c>
      <c r="D102" s="29">
        <f>'Raw - Workforce'!H51+'Raw - Workforce'!L51</f>
        <v>717899.13132788299</v>
      </c>
      <c r="E102" s="29">
        <f>'Raw - Workforce'!I51+'Raw - Workforce'!M51</f>
        <v>647008.197429316</v>
      </c>
      <c r="F102" s="29">
        <f>'Raw - Workforce'!J51+'Raw - Workforce'!N51</f>
        <v>606951.80000000005</v>
      </c>
      <c r="G102" s="29">
        <f>C102-E102</f>
        <v>96576.054876309005</v>
      </c>
      <c r="H102" s="43">
        <f>IFERROR(G102/E102,0)</f>
        <v>0.14926558157999179</v>
      </c>
      <c r="I102" s="29">
        <f>C102-D102</f>
        <v>25685.120977742015</v>
      </c>
      <c r="J102" s="44">
        <f>'Raw - Workforce'!C51-'Raw - Workforce'!E51</f>
        <v>18.799999999999997</v>
      </c>
      <c r="K102" s="43">
        <f>IFERROR('Raw - Workforce'!K51/'Raw - Workforce'!G51,0)</f>
        <v>0</v>
      </c>
    </row>
    <row r="103" spans="1:11" x14ac:dyDescent="0.75">
      <c r="A103" s="2" t="str">
        <f>'Raw - Workforce'!A65</f>
        <v>Location 3</v>
      </c>
      <c r="B103" s="2" t="str">
        <f>'Raw - Workforce'!B65</f>
        <v>Position L</v>
      </c>
      <c r="C103" s="29">
        <f>'Raw - Workforce'!G65+'Raw - Workforce'!K65</f>
        <v>356485.12788105011</v>
      </c>
      <c r="D103" s="29">
        <f>'Raw - Workforce'!H65+'Raw - Workforce'!L65</f>
        <v>344139.32258646871</v>
      </c>
      <c r="E103" s="29">
        <f>'Raw - Workforce'!I65+'Raw - Workforce'!M65</f>
        <v>164226.05489931488</v>
      </c>
      <c r="F103" s="29">
        <f>'Raw - Workforce'!J65+'Raw - Workforce'!N65</f>
        <v>156571.46000000002</v>
      </c>
      <c r="G103" s="29">
        <f>C103-E103</f>
        <v>192259.07298173523</v>
      </c>
      <c r="H103" s="43">
        <f>IFERROR(G103/E103,0)</f>
        <v>1.1706977501201443</v>
      </c>
      <c r="I103" s="29">
        <f>C103-D103</f>
        <v>12345.805294581398</v>
      </c>
      <c r="J103" s="44">
        <f>'Raw - Workforce'!C65-'Raw - Workforce'!E65</f>
        <v>42.600261222830994</v>
      </c>
      <c r="K103" s="43">
        <f>IFERROR('Raw - Workforce'!K65/'Raw - Workforce'!G65,0)</f>
        <v>4.9440985363191574E-2</v>
      </c>
    </row>
    <row r="104" spans="1:11" x14ac:dyDescent="0.75">
      <c r="A104" s="2" t="str">
        <f>'Raw - Workforce'!A25</f>
        <v>Location 1</v>
      </c>
      <c r="B104" s="2" t="str">
        <f>'Raw - Workforce'!B25</f>
        <v>Position X</v>
      </c>
      <c r="C104" s="29">
        <f>'Raw - Workforce'!G25+'Raw - Workforce'!K25</f>
        <v>1180430.1025481287</v>
      </c>
      <c r="D104" s="29">
        <f>'Raw - Workforce'!H25+'Raw - Workforce'!L25</f>
        <v>1180430.1025481287</v>
      </c>
      <c r="E104" s="29">
        <f>'Raw - Workforce'!I25+'Raw - Workforce'!M25</f>
        <v>891350.77962315397</v>
      </c>
      <c r="F104" s="29">
        <f>'Raw - Workforce'!J25+'Raw - Workforce'!N25</f>
        <v>731930.28</v>
      </c>
      <c r="G104" s="29">
        <f>C104-E104</f>
        <v>289079.32292497472</v>
      </c>
      <c r="H104" s="43">
        <f>IFERROR(G104/E104,0)</f>
        <v>0.32431600390498555</v>
      </c>
      <c r="I104" s="29">
        <f>C104-D104</f>
        <v>0</v>
      </c>
      <c r="J104" s="44">
        <f>'Raw - Workforce'!C25-'Raw - Workforce'!E25</f>
        <v>2</v>
      </c>
      <c r="K104" s="43">
        <f>IFERROR('Raw - Workforce'!K25/'Raw - Workforce'!G25,0)</f>
        <v>-1.6195800754747582E-3</v>
      </c>
    </row>
    <row r="105" spans="1:11" x14ac:dyDescent="0.75">
      <c r="A105" s="2" t="str">
        <f>'Raw - Workforce'!A64</f>
        <v>Location 3</v>
      </c>
      <c r="B105" s="2" t="str">
        <f>'Raw - Workforce'!B64</f>
        <v>Position K</v>
      </c>
      <c r="C105" s="29">
        <f>'Raw - Workforce'!G64+'Raw - Workforce'!K64</f>
        <v>1274716.9754377371</v>
      </c>
      <c r="D105" s="29">
        <f>'Raw - Workforce'!H64+'Raw - Workforce'!L64</f>
        <v>975027.28565443249</v>
      </c>
      <c r="E105" s="29">
        <f>'Raw - Workforce'!I64+'Raw - Workforce'!M64</f>
        <v>857934.79620085517</v>
      </c>
      <c r="F105" s="29">
        <f>'Raw - Workforce'!J64+'Raw - Workforce'!N64</f>
        <v>780617.76</v>
      </c>
      <c r="G105" s="29">
        <f>C105-E105</f>
        <v>416782.1792368819</v>
      </c>
      <c r="H105" s="43">
        <f>IFERROR(G105/E105,0)</f>
        <v>0.48579703385676298</v>
      </c>
      <c r="I105" s="29">
        <f>C105-D105</f>
        <v>299689.68978330458</v>
      </c>
      <c r="J105" s="44">
        <f>'Raw - Workforce'!C64-'Raw - Workforce'!E64</f>
        <v>124.79767416019098</v>
      </c>
      <c r="K105" s="43">
        <f>IFERROR('Raw - Workforce'!K64/'Raw - Workforce'!G64,0)</f>
        <v>5.2121010173518563E-2</v>
      </c>
    </row>
  </sheetData>
  <autoFilter ref="A1:K1" xr:uid="{00000000-0001-0000-0300-000000000000}">
    <sortState xmlns:xlrd2="http://schemas.microsoft.com/office/spreadsheetml/2017/richdata2" ref="A2:K105">
      <sortCondition ref="G1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7"/>
  <sheetViews>
    <sheetView zoomScale="6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64" sqref="C64:E64"/>
    </sheetView>
  </sheetViews>
  <sheetFormatPr defaultColWidth="8.6796875" defaultRowHeight="14.75" x14ac:dyDescent="0.75"/>
  <cols>
    <col min="1" max="1" width="12" customWidth="1"/>
    <col min="2" max="2" width="11" customWidth="1"/>
    <col min="3" max="6" width="10" customWidth="1"/>
    <col min="7" max="10" width="12" customWidth="1"/>
    <col min="11" max="14" width="11" customWidth="1"/>
  </cols>
  <sheetData>
    <row r="1" spans="1:14" ht="31.5" customHeight="1" x14ac:dyDescent="0.7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</row>
    <row r="2" spans="1:14" x14ac:dyDescent="0.75">
      <c r="A2" s="5" t="s">
        <v>34</v>
      </c>
      <c r="B2" s="5" t="s">
        <v>35</v>
      </c>
      <c r="C2" s="6">
        <v>332.54193707709697</v>
      </c>
      <c r="D2" s="6">
        <v>332.87073446667199</v>
      </c>
      <c r="E2" s="6">
        <v>349.82813913358598</v>
      </c>
      <c r="F2" s="6">
        <v>345.88</v>
      </c>
      <c r="G2" s="7">
        <v>1111060.1005055599</v>
      </c>
      <c r="H2" s="7">
        <v>1114823.5067247001</v>
      </c>
      <c r="I2" s="7">
        <v>1100596.48926881</v>
      </c>
      <c r="J2" s="7">
        <v>1067045.83</v>
      </c>
      <c r="K2" s="7">
        <v>203565.116990607</v>
      </c>
      <c r="L2" s="7">
        <v>203565.116990607</v>
      </c>
      <c r="M2" s="7">
        <v>239368.89024181399</v>
      </c>
      <c r="N2" s="7">
        <v>216881.04</v>
      </c>
    </row>
    <row r="3" spans="1:14" x14ac:dyDescent="0.75">
      <c r="A3" s="5" t="s">
        <v>34</v>
      </c>
      <c r="B3" s="5" t="s">
        <v>36</v>
      </c>
      <c r="C3" s="6">
        <v>408.85126210361</v>
      </c>
      <c r="D3" s="6">
        <v>431.64203395662702</v>
      </c>
      <c r="E3" s="6">
        <v>453.52453997174803</v>
      </c>
      <c r="F3" s="6">
        <v>410.64</v>
      </c>
      <c r="G3" s="7">
        <v>1362557.85571736</v>
      </c>
      <c r="H3" s="7">
        <v>1385503.7053755999</v>
      </c>
      <c r="I3" s="7">
        <v>1301697.3122066001</v>
      </c>
      <c r="J3" s="7">
        <v>1126091.52</v>
      </c>
      <c r="K3" s="7">
        <v>287593.117329459</v>
      </c>
      <c r="L3" s="7">
        <v>287593.117329459</v>
      </c>
      <c r="M3" s="7">
        <v>376503.09789666999</v>
      </c>
      <c r="N3" s="7">
        <v>343216.31</v>
      </c>
    </row>
    <row r="4" spans="1:14" x14ac:dyDescent="0.75">
      <c r="A4" s="5" t="s">
        <v>34</v>
      </c>
      <c r="B4" s="5" t="s">
        <v>37</v>
      </c>
      <c r="C4" s="6">
        <v>0</v>
      </c>
      <c r="D4" s="6">
        <v>0</v>
      </c>
      <c r="E4" s="6">
        <v>0</v>
      </c>
      <c r="F4" s="6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</row>
    <row r="5" spans="1:14" x14ac:dyDescent="0.75">
      <c r="A5" s="5" t="s">
        <v>34</v>
      </c>
      <c r="B5" s="5" t="s">
        <v>38</v>
      </c>
      <c r="C5" s="6">
        <v>15.7452913104087</v>
      </c>
      <c r="D5" s="6">
        <v>15.7452913104087</v>
      </c>
      <c r="E5" s="6">
        <v>17.106020794997701</v>
      </c>
      <c r="F5" s="6">
        <v>17.38</v>
      </c>
      <c r="G5" s="7">
        <v>51777.990835721997</v>
      </c>
      <c r="H5" s="7">
        <v>51777.990835721997</v>
      </c>
      <c r="I5" s="7">
        <v>55730.4135864036</v>
      </c>
      <c r="J5" s="7">
        <v>58083.13</v>
      </c>
      <c r="K5" s="7">
        <v>7300.2503571891602</v>
      </c>
      <c r="L5" s="7">
        <v>7300.2503571891602</v>
      </c>
      <c r="M5" s="7">
        <v>7255.5677500361398</v>
      </c>
      <c r="N5" s="7">
        <v>8154.34</v>
      </c>
    </row>
    <row r="6" spans="1:14" x14ac:dyDescent="0.75">
      <c r="A6" s="5" t="s">
        <v>34</v>
      </c>
      <c r="B6" s="5" t="s">
        <v>39</v>
      </c>
      <c r="C6" s="6">
        <v>48.037147801120298</v>
      </c>
      <c r="D6" s="6">
        <v>49.4015349097673</v>
      </c>
      <c r="E6" s="6">
        <v>72.493870216148494</v>
      </c>
      <c r="F6" s="6">
        <v>63.51</v>
      </c>
      <c r="G6" s="7">
        <v>94082.052475560398</v>
      </c>
      <c r="H6" s="7">
        <v>162455.69366745101</v>
      </c>
      <c r="I6" s="7">
        <v>203710.48372867299</v>
      </c>
      <c r="J6" s="7">
        <v>176456.01</v>
      </c>
      <c r="K6" s="7">
        <v>22904.852362579699</v>
      </c>
      <c r="L6" s="7">
        <v>22904.852362579699</v>
      </c>
      <c r="M6" s="7">
        <v>44574.030119854498</v>
      </c>
      <c r="N6" s="7">
        <v>38786.199999999997</v>
      </c>
    </row>
    <row r="7" spans="1:14" x14ac:dyDescent="0.75">
      <c r="A7" s="5" t="s">
        <v>34</v>
      </c>
      <c r="B7" s="5" t="s">
        <v>40</v>
      </c>
      <c r="C7" s="6">
        <v>21.6</v>
      </c>
      <c r="D7" s="6">
        <v>24.2117862538685</v>
      </c>
      <c r="E7" s="6">
        <v>25.5</v>
      </c>
      <c r="F7" s="6">
        <v>15.65</v>
      </c>
      <c r="G7" s="7">
        <v>76678.618396829406</v>
      </c>
      <c r="H7" s="7">
        <v>79619.844565246094</v>
      </c>
      <c r="I7" s="7">
        <v>84150.916258333295</v>
      </c>
      <c r="J7" s="7">
        <v>37219.599999999999</v>
      </c>
      <c r="K7" s="7">
        <v>11225.7117231706</v>
      </c>
      <c r="L7" s="7">
        <v>11225.7117231706</v>
      </c>
      <c r="M7" s="7">
        <v>23543.264058374501</v>
      </c>
      <c r="N7" s="7">
        <v>18220</v>
      </c>
    </row>
    <row r="8" spans="1:14" x14ac:dyDescent="0.75">
      <c r="A8" s="5" t="s">
        <v>34</v>
      </c>
      <c r="B8" s="5" t="s">
        <v>41</v>
      </c>
      <c r="C8" s="6">
        <v>13.9986194967475</v>
      </c>
      <c r="D8" s="6">
        <v>13.9986194967475</v>
      </c>
      <c r="E8" s="6">
        <v>14.5</v>
      </c>
      <c r="F8" s="6">
        <v>16.11</v>
      </c>
      <c r="G8" s="7">
        <v>46034.104909586204</v>
      </c>
      <c r="H8" s="7">
        <v>46034.104909586204</v>
      </c>
      <c r="I8" s="7">
        <v>46759.044800000003</v>
      </c>
      <c r="J8" s="7">
        <v>47619.3</v>
      </c>
      <c r="K8" s="7">
        <v>6490.4119566037498</v>
      </c>
      <c r="L8" s="7">
        <v>6490.4119566037498</v>
      </c>
      <c r="M8" s="7">
        <v>6170.3629946650399</v>
      </c>
      <c r="N8" s="7">
        <v>6509.13</v>
      </c>
    </row>
    <row r="9" spans="1:14" x14ac:dyDescent="0.75">
      <c r="A9" s="5" t="s">
        <v>34</v>
      </c>
      <c r="B9" s="5" t="s">
        <v>42</v>
      </c>
      <c r="C9" s="6">
        <v>190.79341172541999</v>
      </c>
      <c r="D9" s="6">
        <v>185.426680450378</v>
      </c>
      <c r="E9" s="6">
        <v>180.018580598304</v>
      </c>
      <c r="F9" s="6">
        <v>168.89</v>
      </c>
      <c r="G9" s="7">
        <v>625673.71089232794</v>
      </c>
      <c r="H9" s="7">
        <v>609770.93226030504</v>
      </c>
      <c r="I9" s="7">
        <v>563240.39842422004</v>
      </c>
      <c r="J9" s="7">
        <v>516731.03</v>
      </c>
      <c r="K9" s="7">
        <v>85972.444936309606</v>
      </c>
      <c r="L9" s="7">
        <v>85972.444936309606</v>
      </c>
      <c r="M9" s="7">
        <v>121191.62777001801</v>
      </c>
      <c r="N9" s="7">
        <v>112868.14</v>
      </c>
    </row>
    <row r="10" spans="1:14" x14ac:dyDescent="0.75">
      <c r="A10" s="5" t="s">
        <v>34</v>
      </c>
      <c r="B10" s="5" t="s">
        <v>43</v>
      </c>
      <c r="C10" s="6">
        <v>88</v>
      </c>
      <c r="D10" s="6">
        <v>88</v>
      </c>
      <c r="E10" s="6">
        <v>85.75</v>
      </c>
      <c r="F10" s="6">
        <v>84.77</v>
      </c>
      <c r="G10" s="7">
        <v>289783.902097732</v>
      </c>
      <c r="H10" s="7">
        <v>289783.902097732</v>
      </c>
      <c r="I10" s="7">
        <v>294434.76132500003</v>
      </c>
      <c r="J10" s="7">
        <v>282706</v>
      </c>
      <c r="K10" s="7">
        <v>44408.5513025092</v>
      </c>
      <c r="L10" s="7">
        <v>44408.5513025092</v>
      </c>
      <c r="M10" s="7">
        <v>49122.414978409397</v>
      </c>
      <c r="N10" s="7">
        <v>51077.599999999999</v>
      </c>
    </row>
    <row r="11" spans="1:14" x14ac:dyDescent="0.75">
      <c r="A11" s="5" t="s">
        <v>34</v>
      </c>
      <c r="B11" s="5" t="s">
        <v>44</v>
      </c>
      <c r="C11" s="6">
        <v>0</v>
      </c>
      <c r="D11" s="6">
        <v>0</v>
      </c>
      <c r="E11" s="6">
        <v>1</v>
      </c>
      <c r="F11" s="6">
        <v>1.35</v>
      </c>
      <c r="G11" s="7">
        <v>0</v>
      </c>
      <c r="H11" s="7">
        <v>0</v>
      </c>
      <c r="I11" s="7">
        <v>3443.0592592592602</v>
      </c>
      <c r="J11" s="7">
        <v>3298.13</v>
      </c>
      <c r="K11" s="7">
        <v>0</v>
      </c>
      <c r="L11" s="7">
        <v>0</v>
      </c>
      <c r="M11" s="7">
        <v>203.00512822586001</v>
      </c>
      <c r="N11" s="7">
        <v>194.46</v>
      </c>
    </row>
    <row r="12" spans="1:14" x14ac:dyDescent="0.75">
      <c r="A12" s="5" t="s">
        <v>34</v>
      </c>
      <c r="B12" s="5" t="s">
        <v>45</v>
      </c>
      <c r="C12" s="6">
        <v>207.91</v>
      </c>
      <c r="D12" s="6">
        <v>207.91</v>
      </c>
      <c r="E12" s="6">
        <v>224.5</v>
      </c>
      <c r="F12" s="6">
        <v>210.29</v>
      </c>
      <c r="G12" s="7">
        <v>568315.34463645401</v>
      </c>
      <c r="H12" s="7">
        <v>568315.34463645401</v>
      </c>
      <c r="I12" s="7">
        <v>664572.16031818197</v>
      </c>
      <c r="J12" s="7">
        <v>586412.14</v>
      </c>
      <c r="K12" s="7">
        <v>85888.898705957006</v>
      </c>
      <c r="L12" s="7">
        <v>85888.898705957006</v>
      </c>
      <c r="M12" s="7">
        <v>83252.236409435995</v>
      </c>
      <c r="N12" s="7">
        <v>71978.55</v>
      </c>
    </row>
    <row r="13" spans="1:14" x14ac:dyDescent="0.75">
      <c r="A13" s="5" t="s">
        <v>34</v>
      </c>
      <c r="B13" s="5" t="s">
        <v>46</v>
      </c>
      <c r="C13" s="6">
        <v>209.58129141493799</v>
      </c>
      <c r="D13" s="6">
        <v>209.75587141493801</v>
      </c>
      <c r="E13" s="6">
        <v>242</v>
      </c>
      <c r="F13" s="6">
        <v>214.97</v>
      </c>
      <c r="G13" s="7">
        <v>573360.97519455699</v>
      </c>
      <c r="H13" s="7">
        <v>573360.97519455699</v>
      </c>
      <c r="I13" s="7">
        <v>616633.56519999995</v>
      </c>
      <c r="J13" s="7">
        <v>531760.52</v>
      </c>
      <c r="K13" s="7">
        <v>86651.439531226803</v>
      </c>
      <c r="L13" s="7">
        <v>86651.439531226803</v>
      </c>
      <c r="M13" s="7">
        <v>139896.639251232</v>
      </c>
      <c r="N13" s="7">
        <v>158726.93</v>
      </c>
    </row>
    <row r="14" spans="1:14" x14ac:dyDescent="0.75">
      <c r="A14" s="5" t="s">
        <v>34</v>
      </c>
      <c r="B14" s="5" t="s">
        <v>47</v>
      </c>
      <c r="C14" s="6">
        <v>25.814379197055299</v>
      </c>
      <c r="D14" s="6">
        <v>26.52</v>
      </c>
      <c r="E14" s="6">
        <v>29</v>
      </c>
      <c r="F14" s="6">
        <v>38.409999999999997</v>
      </c>
      <c r="G14" s="7">
        <v>104543.06443377399</v>
      </c>
      <c r="H14" s="7">
        <v>104543.06443377399</v>
      </c>
      <c r="I14" s="7">
        <v>96580.019377905104</v>
      </c>
      <c r="J14" s="7">
        <v>129726.32</v>
      </c>
      <c r="K14" s="7">
        <v>9899.6888035885495</v>
      </c>
      <c r="L14" s="7">
        <v>9899.6888035885495</v>
      </c>
      <c r="M14" s="7">
        <v>9899.6888035885495</v>
      </c>
      <c r="N14" s="7">
        <v>7831.61</v>
      </c>
    </row>
    <row r="15" spans="1:14" x14ac:dyDescent="0.75">
      <c r="A15" s="5" t="s">
        <v>34</v>
      </c>
      <c r="B15" s="5" t="s">
        <v>48</v>
      </c>
      <c r="C15" s="6">
        <v>20.467708555312299</v>
      </c>
      <c r="D15" s="6">
        <v>20.94</v>
      </c>
      <c r="E15" s="6">
        <v>20.7841666666667</v>
      </c>
      <c r="F15" s="6">
        <v>19.600000000000001</v>
      </c>
      <c r="G15" s="7">
        <v>115804.617468071</v>
      </c>
      <c r="H15" s="7">
        <v>115804.617468071</v>
      </c>
      <c r="I15" s="7">
        <v>108292.498684376</v>
      </c>
      <c r="J15" s="7">
        <v>99953.21</v>
      </c>
      <c r="K15" s="7">
        <v>9737.8348793570203</v>
      </c>
      <c r="L15" s="7">
        <v>9737.8348793570203</v>
      </c>
      <c r="M15" s="7">
        <v>9737.8348793570203</v>
      </c>
      <c r="N15" s="7">
        <v>26249.58</v>
      </c>
    </row>
    <row r="16" spans="1:14" x14ac:dyDescent="0.75">
      <c r="A16" s="5" t="s">
        <v>34</v>
      </c>
      <c r="B16" s="5" t="s">
        <v>49</v>
      </c>
      <c r="C16" s="6">
        <v>30.786576543555199</v>
      </c>
      <c r="D16" s="6">
        <v>35.386784710282299</v>
      </c>
      <c r="E16" s="6">
        <v>41.5</v>
      </c>
      <c r="F16" s="6">
        <v>36.988500000000002</v>
      </c>
      <c r="G16" s="7">
        <v>128460.26288757</v>
      </c>
      <c r="H16" s="7">
        <v>128460.26288757</v>
      </c>
      <c r="I16" s="7">
        <v>174564.94388062699</v>
      </c>
      <c r="J16" s="7">
        <v>151503.73000000001</v>
      </c>
      <c r="K16" s="7">
        <v>29089.959307865702</v>
      </c>
      <c r="L16" s="7">
        <v>29089.959307865702</v>
      </c>
      <c r="M16" s="7">
        <v>13089.9593078657</v>
      </c>
      <c r="N16" s="7">
        <v>28328.59</v>
      </c>
    </row>
    <row r="17" spans="1:14" x14ac:dyDescent="0.75">
      <c r="A17" s="5" t="s">
        <v>34</v>
      </c>
      <c r="B17" s="5" t="s">
        <v>50</v>
      </c>
      <c r="C17" s="6">
        <v>116.145373388685</v>
      </c>
      <c r="D17" s="6">
        <v>117.79</v>
      </c>
      <c r="E17" s="6">
        <v>110.449166666667</v>
      </c>
      <c r="F17" s="6">
        <v>116.9</v>
      </c>
      <c r="G17" s="7">
        <v>381746.70684056298</v>
      </c>
      <c r="H17" s="7">
        <v>381746.70684056298</v>
      </c>
      <c r="I17" s="7">
        <v>375817.72999362502</v>
      </c>
      <c r="J17" s="7">
        <v>381171.44</v>
      </c>
      <c r="K17" s="7">
        <v>52283.646088781701</v>
      </c>
      <c r="L17" s="7">
        <v>52283.646088781701</v>
      </c>
      <c r="M17" s="7">
        <v>52283.646088781701</v>
      </c>
      <c r="N17" s="7">
        <v>53036.79</v>
      </c>
    </row>
    <row r="18" spans="1:14" x14ac:dyDescent="0.75">
      <c r="A18" s="5" t="s">
        <v>34</v>
      </c>
      <c r="B18" s="5" t="s">
        <v>51</v>
      </c>
      <c r="C18" s="6">
        <v>6</v>
      </c>
      <c r="D18" s="6">
        <v>4.7699999999999996</v>
      </c>
      <c r="E18" s="6">
        <v>4.37</v>
      </c>
      <c r="F18" s="6">
        <v>4.47</v>
      </c>
      <c r="G18" s="7">
        <v>26673.162130465498</v>
      </c>
      <c r="H18" s="7">
        <v>26673.162130465498</v>
      </c>
      <c r="I18" s="7">
        <v>20613.327682542</v>
      </c>
      <c r="J18" s="7">
        <v>20522.919999999998</v>
      </c>
      <c r="K18" s="7">
        <v>1816.0041010499001</v>
      </c>
      <c r="L18" s="7">
        <v>1816.0041010499001</v>
      </c>
      <c r="M18" s="7">
        <v>1816.0041010499001</v>
      </c>
      <c r="N18" s="7">
        <v>9092.57</v>
      </c>
    </row>
    <row r="19" spans="1:14" x14ac:dyDescent="0.75">
      <c r="A19" s="5" t="s">
        <v>34</v>
      </c>
      <c r="B19" s="5" t="s">
        <v>52</v>
      </c>
      <c r="C19" s="6">
        <v>17.782580221517598</v>
      </c>
      <c r="D19" s="6">
        <v>22.81</v>
      </c>
      <c r="E19" s="6">
        <v>20.6</v>
      </c>
      <c r="F19" s="6">
        <v>13.11</v>
      </c>
      <c r="G19" s="7">
        <v>62477.037711541401</v>
      </c>
      <c r="H19" s="7">
        <v>62477.037711541401</v>
      </c>
      <c r="I19" s="7">
        <v>68839.745667775307</v>
      </c>
      <c r="J19" s="7">
        <v>40815.42</v>
      </c>
      <c r="K19" s="7">
        <v>7544.9792436064299</v>
      </c>
      <c r="L19" s="7">
        <v>7544.9792436064299</v>
      </c>
      <c r="M19" s="7">
        <v>7544.9792436064299</v>
      </c>
      <c r="N19" s="7">
        <v>3853.61</v>
      </c>
    </row>
    <row r="20" spans="1:14" x14ac:dyDescent="0.75">
      <c r="A20" s="5" t="s">
        <v>34</v>
      </c>
      <c r="B20" s="5" t="s">
        <v>53</v>
      </c>
      <c r="C20" s="6">
        <v>40.799999999999997</v>
      </c>
      <c r="D20" s="6">
        <v>40.9</v>
      </c>
      <c r="E20" s="6">
        <v>40.9</v>
      </c>
      <c r="F20" s="6">
        <v>40.1</v>
      </c>
      <c r="G20" s="7">
        <v>271804.08875840501</v>
      </c>
      <c r="H20" s="7">
        <v>271804.08875840501</v>
      </c>
      <c r="I20" s="7">
        <v>271804.08875840501</v>
      </c>
      <c r="J20" s="7">
        <v>261783.09</v>
      </c>
      <c r="K20" s="7">
        <v>0</v>
      </c>
      <c r="L20" s="7">
        <v>0</v>
      </c>
      <c r="M20" s="7">
        <v>0</v>
      </c>
      <c r="N20" s="7">
        <v>0</v>
      </c>
    </row>
    <row r="21" spans="1:14" x14ac:dyDescent="0.75">
      <c r="A21" s="5" t="s">
        <v>34</v>
      </c>
      <c r="B21" s="5" t="s">
        <v>54</v>
      </c>
      <c r="C21" s="6">
        <v>257.79661790612602</v>
      </c>
      <c r="D21" s="6">
        <v>269.11678471028199</v>
      </c>
      <c r="E21" s="6">
        <v>267.60333333333301</v>
      </c>
      <c r="F21" s="6">
        <v>269.57850000000002</v>
      </c>
      <c r="G21" s="7">
        <v>1091508.9402303901</v>
      </c>
      <c r="H21" s="7">
        <v>1091508.9402303901</v>
      </c>
      <c r="I21" s="7">
        <v>1116512.35404526</v>
      </c>
      <c r="J21" s="7">
        <v>1085476.1299999999</v>
      </c>
      <c r="K21" s="7">
        <v>110372.112424249</v>
      </c>
      <c r="L21" s="7">
        <v>110372.112424249</v>
      </c>
      <c r="M21" s="7">
        <v>94372.112424249295</v>
      </c>
      <c r="N21" s="7">
        <v>128392.75</v>
      </c>
    </row>
    <row r="22" spans="1:14" x14ac:dyDescent="0.75">
      <c r="A22" s="5" t="s">
        <v>34</v>
      </c>
      <c r="B22" s="5" t="s">
        <v>55</v>
      </c>
      <c r="C22" s="6">
        <v>27</v>
      </c>
      <c r="D22" s="6">
        <v>27</v>
      </c>
      <c r="E22" s="6">
        <v>26</v>
      </c>
      <c r="F22" s="6">
        <v>25.7</v>
      </c>
      <c r="G22" s="7">
        <v>188895.35582209201</v>
      </c>
      <c r="H22" s="7">
        <v>188895.35582209201</v>
      </c>
      <c r="I22" s="7">
        <v>301888.71782757802</v>
      </c>
      <c r="J22" s="7">
        <v>287026.73</v>
      </c>
      <c r="K22" s="7">
        <v>-305.93115463917502</v>
      </c>
      <c r="L22" s="7">
        <v>-305.93115463917502</v>
      </c>
      <c r="M22" s="7">
        <v>0</v>
      </c>
      <c r="N22" s="7">
        <v>0</v>
      </c>
    </row>
    <row r="23" spans="1:14" x14ac:dyDescent="0.75">
      <c r="A23" s="5" t="s">
        <v>34</v>
      </c>
      <c r="B23" s="5" t="s">
        <v>56</v>
      </c>
      <c r="C23" s="6">
        <v>23</v>
      </c>
      <c r="D23" s="6">
        <v>23</v>
      </c>
      <c r="E23" s="6">
        <v>23</v>
      </c>
      <c r="F23" s="6">
        <v>19.28</v>
      </c>
      <c r="G23" s="7">
        <v>160910.85866326399</v>
      </c>
      <c r="H23" s="7">
        <v>160910.85866326399</v>
      </c>
      <c r="I23" s="7">
        <v>186792.56570000001</v>
      </c>
      <c r="J23" s="7">
        <v>149000.29999999999</v>
      </c>
      <c r="K23" s="7">
        <v>-260.60802061855702</v>
      </c>
      <c r="L23" s="7">
        <v>-260.60802061855702</v>
      </c>
      <c r="M23" s="7">
        <v>0</v>
      </c>
      <c r="N23" s="7">
        <v>0</v>
      </c>
    </row>
    <row r="24" spans="1:14" x14ac:dyDescent="0.75">
      <c r="A24" s="5" t="s">
        <v>34</v>
      </c>
      <c r="B24" s="5" t="s">
        <v>57</v>
      </c>
      <c r="C24" s="6">
        <v>0</v>
      </c>
      <c r="D24" s="6">
        <v>0</v>
      </c>
      <c r="E24" s="6">
        <v>0.5</v>
      </c>
      <c r="F24" s="6">
        <v>15.58</v>
      </c>
      <c r="G24" s="7">
        <v>-3.6379788070917101E-12</v>
      </c>
      <c r="H24" s="7">
        <v>-3.6379788070917101E-12</v>
      </c>
      <c r="I24" s="7">
        <v>31615.827491095901</v>
      </c>
      <c r="J24" s="7">
        <v>74876.7</v>
      </c>
      <c r="K24" s="7">
        <v>0</v>
      </c>
      <c r="L24" s="7">
        <v>0</v>
      </c>
      <c r="M24" s="7">
        <v>0</v>
      </c>
      <c r="N24" s="7">
        <v>13923.38</v>
      </c>
    </row>
    <row r="25" spans="1:14" x14ac:dyDescent="0.75">
      <c r="A25" s="5" t="s">
        <v>34</v>
      </c>
      <c r="B25" s="5" t="s">
        <v>58</v>
      </c>
      <c r="C25" s="6">
        <v>169</v>
      </c>
      <c r="D25" s="6">
        <v>169</v>
      </c>
      <c r="E25" s="6">
        <v>167</v>
      </c>
      <c r="F25" s="6">
        <v>137.31</v>
      </c>
      <c r="G25" s="7">
        <v>1182345.0049604999</v>
      </c>
      <c r="H25" s="7">
        <v>1182345.0049604999</v>
      </c>
      <c r="I25" s="7">
        <v>891350.77962315397</v>
      </c>
      <c r="J25" s="7">
        <v>731930.28</v>
      </c>
      <c r="K25" s="7">
        <v>-1914.9024123711299</v>
      </c>
      <c r="L25" s="7">
        <v>-1914.9024123711299</v>
      </c>
      <c r="M25" s="7">
        <v>0</v>
      </c>
      <c r="N25" s="7">
        <v>0</v>
      </c>
    </row>
    <row r="26" spans="1:14" x14ac:dyDescent="0.75">
      <c r="A26" s="5" t="s">
        <v>34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x14ac:dyDescent="0.75">
      <c r="A27" s="5" t="s">
        <v>34</v>
      </c>
      <c r="B27" s="5" t="s">
        <v>60</v>
      </c>
      <c r="C27" s="6">
        <v>0</v>
      </c>
      <c r="D27" s="6">
        <v>0</v>
      </c>
      <c r="E27" s="6">
        <v>0</v>
      </c>
      <c r="F27" s="6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</row>
    <row r="28" spans="1:14" x14ac:dyDescent="0.75">
      <c r="A28" s="5" t="s">
        <v>61</v>
      </c>
      <c r="B28" s="5" t="s">
        <v>35</v>
      </c>
      <c r="C28" s="6">
        <v>375.46</v>
      </c>
      <c r="D28" s="6">
        <v>353.4</v>
      </c>
      <c r="E28" s="6">
        <v>401.02</v>
      </c>
      <c r="F28" s="6">
        <v>390.8</v>
      </c>
      <c r="G28" s="7">
        <v>988586.18</v>
      </c>
      <c r="H28" s="7">
        <v>930502.2</v>
      </c>
      <c r="I28" s="7">
        <v>1047650.5064489</v>
      </c>
      <c r="J28" s="7">
        <v>940049.13</v>
      </c>
      <c r="K28" s="7">
        <v>101610.828498366</v>
      </c>
      <c r="L28" s="7">
        <v>101610.828498366</v>
      </c>
      <c r="M28" s="7">
        <v>101610.828498366</v>
      </c>
      <c r="N28" s="7">
        <v>116690.39</v>
      </c>
    </row>
    <row r="29" spans="1:14" x14ac:dyDescent="0.75">
      <c r="A29" s="5" t="s">
        <v>61</v>
      </c>
      <c r="B29" s="5" t="s">
        <v>36</v>
      </c>
      <c r="C29" s="6">
        <v>467.2</v>
      </c>
      <c r="D29" s="6">
        <v>449.2</v>
      </c>
      <c r="E29" s="6">
        <v>533.19000000000005</v>
      </c>
      <c r="F29" s="6">
        <v>485.48</v>
      </c>
      <c r="G29" s="7">
        <v>1226927.90096042</v>
      </c>
      <c r="H29" s="7">
        <v>1179657.5623104</v>
      </c>
      <c r="I29" s="7">
        <v>1400226.21471123</v>
      </c>
      <c r="J29" s="7">
        <v>1169735.6299999999</v>
      </c>
      <c r="K29" s="7">
        <v>88000.748741082207</v>
      </c>
      <c r="L29" s="7">
        <v>88000.748741082207</v>
      </c>
      <c r="M29" s="7">
        <v>107667.84874108199</v>
      </c>
      <c r="N29" s="7">
        <v>116956.54</v>
      </c>
    </row>
    <row r="30" spans="1:14" x14ac:dyDescent="0.75">
      <c r="A30" s="5" t="s">
        <v>61</v>
      </c>
      <c r="B30" s="5" t="s">
        <v>37</v>
      </c>
      <c r="C30" s="6">
        <v>0</v>
      </c>
      <c r="D30" s="6">
        <v>0</v>
      </c>
      <c r="E30" s="6">
        <v>0</v>
      </c>
      <c r="F30" s="6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x14ac:dyDescent="0.75">
      <c r="A31" s="5" t="s">
        <v>61</v>
      </c>
      <c r="B31" s="5" t="s">
        <v>38</v>
      </c>
      <c r="C31" s="6">
        <v>27.5</v>
      </c>
      <c r="D31" s="6">
        <v>25.5</v>
      </c>
      <c r="E31" s="6">
        <v>43.77</v>
      </c>
      <c r="F31" s="6">
        <v>43.77</v>
      </c>
      <c r="G31" s="7">
        <v>77110</v>
      </c>
      <c r="H31" s="7">
        <v>71502</v>
      </c>
      <c r="I31" s="7">
        <v>113530.212076596</v>
      </c>
      <c r="J31" s="7">
        <v>109772.48</v>
      </c>
      <c r="K31" s="7">
        <v>7634.8589813324297</v>
      </c>
      <c r="L31" s="7">
        <v>7634.8589813324297</v>
      </c>
      <c r="M31" s="7">
        <v>7634.8589813324297</v>
      </c>
      <c r="N31" s="7">
        <v>9213.08</v>
      </c>
    </row>
    <row r="32" spans="1:14" x14ac:dyDescent="0.75">
      <c r="A32" s="5" t="s">
        <v>61</v>
      </c>
      <c r="B32" s="5" t="s">
        <v>39</v>
      </c>
      <c r="C32" s="6">
        <v>42.41</v>
      </c>
      <c r="D32" s="6">
        <v>42.41</v>
      </c>
      <c r="E32" s="6">
        <v>36.369999999999997</v>
      </c>
      <c r="F32" s="6">
        <v>42.23</v>
      </c>
      <c r="G32" s="7">
        <v>116500.27</v>
      </c>
      <c r="H32" s="7">
        <v>116500.27</v>
      </c>
      <c r="I32" s="7">
        <v>94573.037427808697</v>
      </c>
      <c r="J32" s="7">
        <v>99893.82</v>
      </c>
      <c r="K32" s="7">
        <v>7942.3465899067996</v>
      </c>
      <c r="L32" s="7">
        <v>7942.3465899067996</v>
      </c>
      <c r="M32" s="7">
        <v>7942.3465899067996</v>
      </c>
      <c r="N32" s="7">
        <v>10061.959999999999</v>
      </c>
    </row>
    <row r="33" spans="1:14" x14ac:dyDescent="0.75">
      <c r="A33" s="5" t="s">
        <v>61</v>
      </c>
      <c r="B33" s="5" t="s">
        <v>40</v>
      </c>
      <c r="C33" s="6">
        <v>16.45</v>
      </c>
      <c r="D33" s="6">
        <v>16.45</v>
      </c>
      <c r="E33" s="6">
        <v>27.31</v>
      </c>
      <c r="F33" s="6">
        <v>27.43</v>
      </c>
      <c r="G33" s="7">
        <v>39829.225740821901</v>
      </c>
      <c r="H33" s="7">
        <v>39829.225740821901</v>
      </c>
      <c r="I33" s="7">
        <v>66123.778418349306</v>
      </c>
      <c r="J33" s="7">
        <v>60638.63</v>
      </c>
      <c r="K33" s="7">
        <v>4394.9698879559101</v>
      </c>
      <c r="L33" s="7">
        <v>4394.9698879559101</v>
      </c>
      <c r="M33" s="7">
        <v>4394.9698879559101</v>
      </c>
      <c r="N33" s="7">
        <v>5563</v>
      </c>
    </row>
    <row r="34" spans="1:14" x14ac:dyDescent="0.75">
      <c r="A34" s="5" t="s">
        <v>61</v>
      </c>
      <c r="B34" s="5" t="s">
        <v>41</v>
      </c>
      <c r="C34" s="6">
        <v>0</v>
      </c>
      <c r="D34" s="6">
        <v>0</v>
      </c>
      <c r="E34" s="6">
        <v>0</v>
      </c>
      <c r="F34" s="6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x14ac:dyDescent="0.75">
      <c r="A35" s="5" t="s">
        <v>61</v>
      </c>
      <c r="B35" s="5" t="s">
        <v>42</v>
      </c>
      <c r="C35" s="6">
        <v>286.49</v>
      </c>
      <c r="D35" s="6">
        <v>279.42</v>
      </c>
      <c r="E35" s="6">
        <v>276.69</v>
      </c>
      <c r="F35" s="6">
        <v>259.58</v>
      </c>
      <c r="G35" s="7">
        <v>775508.74083499797</v>
      </c>
      <c r="H35" s="7">
        <v>756370.736724196</v>
      </c>
      <c r="I35" s="7">
        <v>748980.81434477796</v>
      </c>
      <c r="J35" s="7">
        <v>642817.26</v>
      </c>
      <c r="K35" s="7">
        <v>59135.674359923498</v>
      </c>
      <c r="L35" s="7">
        <v>59135.674359923498</v>
      </c>
      <c r="M35" s="7">
        <v>59135.674359923498</v>
      </c>
      <c r="N35" s="7">
        <v>65832.639999999999</v>
      </c>
    </row>
    <row r="36" spans="1:14" x14ac:dyDescent="0.75">
      <c r="A36" s="5" t="s">
        <v>61</v>
      </c>
      <c r="B36" s="5" t="s">
        <v>43</v>
      </c>
      <c r="C36" s="6">
        <v>36.5</v>
      </c>
      <c r="D36" s="6">
        <v>36.5</v>
      </c>
      <c r="E36" s="6">
        <v>31.2</v>
      </c>
      <c r="F36" s="6">
        <v>31.2</v>
      </c>
      <c r="G36" s="7">
        <v>104572.5</v>
      </c>
      <c r="H36" s="7">
        <v>103181.60378644201</v>
      </c>
      <c r="I36" s="7">
        <v>88199.069537999996</v>
      </c>
      <c r="J36" s="7">
        <v>78722.570000000007</v>
      </c>
      <c r="K36" s="7">
        <v>10971.3264382422</v>
      </c>
      <c r="L36" s="7">
        <v>10971.3264382422</v>
      </c>
      <c r="M36" s="7">
        <v>10971.3264382422</v>
      </c>
      <c r="N36" s="7">
        <v>11423.87</v>
      </c>
    </row>
    <row r="37" spans="1:14" x14ac:dyDescent="0.75">
      <c r="A37" s="5" t="s">
        <v>61</v>
      </c>
      <c r="B37" s="5" t="s">
        <v>44</v>
      </c>
      <c r="C37" s="6">
        <v>0</v>
      </c>
      <c r="D37" s="6">
        <v>0</v>
      </c>
      <c r="E37" s="6">
        <v>0</v>
      </c>
      <c r="F37" s="6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</row>
    <row r="38" spans="1:14" x14ac:dyDescent="0.75">
      <c r="A38" s="5" t="s">
        <v>61</v>
      </c>
      <c r="B38" s="5" t="s">
        <v>45</v>
      </c>
      <c r="C38" s="6">
        <v>198.77</v>
      </c>
      <c r="D38" s="6">
        <v>198.77</v>
      </c>
      <c r="E38" s="6">
        <v>230.23</v>
      </c>
      <c r="F38" s="6">
        <v>232.34</v>
      </c>
      <c r="G38" s="7">
        <v>422783.79</v>
      </c>
      <c r="H38" s="7">
        <v>422783.79</v>
      </c>
      <c r="I38" s="7">
        <v>473013.51036504802</v>
      </c>
      <c r="J38" s="7">
        <v>463701.24</v>
      </c>
      <c r="K38" s="7">
        <v>20280.906761352901</v>
      </c>
      <c r="L38" s="7">
        <v>20280.906761352901</v>
      </c>
      <c r="M38" s="7">
        <v>20280.906761352901</v>
      </c>
      <c r="N38" s="7">
        <v>24390.59</v>
      </c>
    </row>
    <row r="39" spans="1:14" x14ac:dyDescent="0.75">
      <c r="A39" s="5" t="s">
        <v>61</v>
      </c>
      <c r="B39" s="5" t="s">
        <v>46</v>
      </c>
      <c r="C39" s="6">
        <v>138.21</v>
      </c>
      <c r="D39" s="6">
        <v>138.71</v>
      </c>
      <c r="E39" s="6">
        <v>157.4</v>
      </c>
      <c r="F39" s="6">
        <v>153.96</v>
      </c>
      <c r="G39" s="7">
        <v>318170.700793906</v>
      </c>
      <c r="H39" s="7">
        <v>319321.74160424498</v>
      </c>
      <c r="I39" s="7">
        <v>362347.64709471702</v>
      </c>
      <c r="J39" s="7">
        <v>319701.42</v>
      </c>
      <c r="K39" s="7">
        <v>17852.4924277063</v>
      </c>
      <c r="L39" s="7">
        <v>17852.4924277063</v>
      </c>
      <c r="M39" s="7">
        <v>17852.4924277063</v>
      </c>
      <c r="N39" s="7">
        <v>12805.01</v>
      </c>
    </row>
    <row r="40" spans="1:14" x14ac:dyDescent="0.75">
      <c r="A40" s="5" t="s">
        <v>61</v>
      </c>
      <c r="B40" s="5" t="s">
        <v>47</v>
      </c>
      <c r="C40" s="6">
        <v>32.534774008980897</v>
      </c>
      <c r="D40" s="6">
        <v>33.5911589492747</v>
      </c>
      <c r="E40" s="6">
        <v>33.3808333333333</v>
      </c>
      <c r="F40" s="6">
        <v>31.63</v>
      </c>
      <c r="G40" s="7">
        <v>108281.51412740799</v>
      </c>
      <c r="H40" s="7">
        <v>111797.35108403899</v>
      </c>
      <c r="I40" s="7">
        <v>111097.350028318</v>
      </c>
      <c r="J40" s="7">
        <v>100026.71</v>
      </c>
      <c r="K40" s="7">
        <v>12448.1280431084</v>
      </c>
      <c r="L40" s="7">
        <v>12448.1280431084</v>
      </c>
      <c r="M40" s="7">
        <v>12448.1280431084</v>
      </c>
      <c r="N40" s="7">
        <v>14599.43</v>
      </c>
    </row>
    <row r="41" spans="1:14" x14ac:dyDescent="0.75">
      <c r="A41" s="5" t="s">
        <v>61</v>
      </c>
      <c r="B41" s="5" t="s">
        <v>48</v>
      </c>
      <c r="C41" s="6">
        <v>25.435750771702999</v>
      </c>
      <c r="D41" s="6">
        <v>26.677104385255301</v>
      </c>
      <c r="E41" s="6">
        <v>25.9158333333333</v>
      </c>
      <c r="F41" s="6">
        <v>28.83</v>
      </c>
      <c r="G41" s="7">
        <v>124736.921784431</v>
      </c>
      <c r="H41" s="7">
        <v>128530.28892815999</v>
      </c>
      <c r="I41" s="7">
        <v>119045.202285539</v>
      </c>
      <c r="J41" s="7">
        <v>119207.11</v>
      </c>
      <c r="K41" s="7">
        <v>25991.576893491299</v>
      </c>
      <c r="L41" s="7">
        <v>25991.576893491299</v>
      </c>
      <c r="M41" s="7">
        <v>25991.576893491299</v>
      </c>
      <c r="N41" s="7">
        <v>34042</v>
      </c>
    </row>
    <row r="42" spans="1:14" x14ac:dyDescent="0.75">
      <c r="A42" s="5" t="s">
        <v>61</v>
      </c>
      <c r="B42" s="5" t="s">
        <v>49</v>
      </c>
      <c r="C42" s="6">
        <v>55.508894866735702</v>
      </c>
      <c r="D42" s="6">
        <v>65.220141363757193</v>
      </c>
      <c r="E42" s="6">
        <v>55.064858333333298</v>
      </c>
      <c r="F42" s="6">
        <v>53.569099999999999</v>
      </c>
      <c r="G42" s="7">
        <v>225424.607780928</v>
      </c>
      <c r="H42" s="7">
        <v>260623.98478114899</v>
      </c>
      <c r="I42" s="7">
        <v>219272.69336217499</v>
      </c>
      <c r="J42" s="7">
        <v>195610.52</v>
      </c>
      <c r="K42" s="7">
        <v>41123.604456243796</v>
      </c>
      <c r="L42" s="7">
        <v>41123.604456243796</v>
      </c>
      <c r="M42" s="7">
        <v>41123.604456243796</v>
      </c>
      <c r="N42" s="7">
        <v>50826.71</v>
      </c>
    </row>
    <row r="43" spans="1:14" x14ac:dyDescent="0.75">
      <c r="A43" s="5" t="s">
        <v>61</v>
      </c>
      <c r="B43" s="5" t="s">
        <v>50</v>
      </c>
      <c r="C43" s="6">
        <v>123.46849362368199</v>
      </c>
      <c r="D43" s="6">
        <v>127.00504536059201</v>
      </c>
      <c r="E43" s="6">
        <v>131.5</v>
      </c>
      <c r="F43" s="6">
        <v>137.71</v>
      </c>
      <c r="G43" s="7">
        <v>361145.34384927002</v>
      </c>
      <c r="H43" s="7">
        <v>365235.31488820998</v>
      </c>
      <c r="I43" s="7">
        <v>378161.70035952202</v>
      </c>
      <c r="J43" s="7">
        <v>370569.35</v>
      </c>
      <c r="K43" s="7">
        <v>46634.097801656302</v>
      </c>
      <c r="L43" s="7">
        <v>46634.097801656302</v>
      </c>
      <c r="M43" s="7">
        <v>46634.097801656302</v>
      </c>
      <c r="N43" s="7">
        <v>60340.39</v>
      </c>
    </row>
    <row r="44" spans="1:14" x14ac:dyDescent="0.75">
      <c r="A44" s="5" t="s">
        <v>61</v>
      </c>
      <c r="B44" s="5" t="s">
        <v>51</v>
      </c>
      <c r="C44" s="6">
        <v>1.5</v>
      </c>
      <c r="D44" s="6">
        <v>1.33699795950435</v>
      </c>
      <c r="E44" s="6">
        <v>1.65</v>
      </c>
      <c r="F44" s="6">
        <v>1.83</v>
      </c>
      <c r="G44" s="7">
        <v>6466.8578932584296</v>
      </c>
      <c r="H44" s="7">
        <v>5764.1172051273998</v>
      </c>
      <c r="I44" s="7">
        <v>7113.5436825842698</v>
      </c>
      <c r="J44" s="7">
        <v>7713.54</v>
      </c>
      <c r="K44" s="7">
        <v>192.04699424568599</v>
      </c>
      <c r="L44" s="7">
        <v>192.04699424568599</v>
      </c>
      <c r="M44" s="7">
        <v>192.04699424568599</v>
      </c>
      <c r="N44" s="7">
        <v>267.69</v>
      </c>
    </row>
    <row r="45" spans="1:14" x14ac:dyDescent="0.75">
      <c r="A45" s="5" t="s">
        <v>61</v>
      </c>
      <c r="B45" s="5" t="s">
        <v>52</v>
      </c>
      <c r="C45" s="6">
        <v>20.426078533137201</v>
      </c>
      <c r="D45" s="6">
        <v>18.4823902182798</v>
      </c>
      <c r="E45" s="6">
        <v>15.6</v>
      </c>
      <c r="F45" s="6">
        <v>18.96</v>
      </c>
      <c r="G45" s="7">
        <v>60256.931672754799</v>
      </c>
      <c r="H45" s="7">
        <v>53598.931633011402</v>
      </c>
      <c r="I45" s="7">
        <v>42872.833755736203</v>
      </c>
      <c r="J45" s="7">
        <v>47687.99</v>
      </c>
      <c r="K45" s="7">
        <v>9212.9805939511698</v>
      </c>
      <c r="L45" s="7">
        <v>9212.9805939511698</v>
      </c>
      <c r="M45" s="7">
        <v>9212.9805939511698</v>
      </c>
      <c r="N45" s="7">
        <v>10309.950000000001</v>
      </c>
    </row>
    <row r="46" spans="1:14" x14ac:dyDescent="0.75">
      <c r="A46" s="5" t="s">
        <v>61</v>
      </c>
      <c r="B46" s="5" t="s">
        <v>53</v>
      </c>
      <c r="C46" s="6">
        <v>37.5</v>
      </c>
      <c r="D46" s="6">
        <v>37.6</v>
      </c>
      <c r="E46" s="6">
        <v>38.920999999999999</v>
      </c>
      <c r="F46" s="6">
        <v>37.58</v>
      </c>
      <c r="G46" s="7">
        <v>257812.5</v>
      </c>
      <c r="H46" s="7">
        <v>246806.39999999999</v>
      </c>
      <c r="I46" s="7">
        <v>247554.34419741199</v>
      </c>
      <c r="J46" s="7">
        <v>243641.03</v>
      </c>
      <c r="K46" s="7">
        <v>0</v>
      </c>
      <c r="L46" s="7">
        <v>0</v>
      </c>
      <c r="M46" s="7">
        <v>0</v>
      </c>
      <c r="N46" s="7">
        <v>0</v>
      </c>
    </row>
    <row r="47" spans="1:14" x14ac:dyDescent="0.75">
      <c r="A47" s="5" t="s">
        <v>61</v>
      </c>
      <c r="B47" s="5" t="s">
        <v>54</v>
      </c>
      <c r="C47" s="6">
        <v>296.37399180423898</v>
      </c>
      <c r="D47" s="6">
        <v>309.91283823666299</v>
      </c>
      <c r="E47" s="6">
        <v>302.03252500000002</v>
      </c>
      <c r="F47" s="6">
        <v>310.10910000000001</v>
      </c>
      <c r="G47" s="7">
        <v>1144124.6771080501</v>
      </c>
      <c r="H47" s="7">
        <v>1172356.3885196999</v>
      </c>
      <c r="I47" s="7">
        <v>1125117.66767129</v>
      </c>
      <c r="J47" s="7">
        <v>1084456.25</v>
      </c>
      <c r="K47" s="7">
        <v>135602.434782697</v>
      </c>
      <c r="L47" s="7">
        <v>135602.434782697</v>
      </c>
      <c r="M47" s="7">
        <v>135602.434782697</v>
      </c>
      <c r="N47" s="7">
        <v>170386.17</v>
      </c>
    </row>
    <row r="48" spans="1:14" x14ac:dyDescent="0.75">
      <c r="A48" s="5" t="s">
        <v>61</v>
      </c>
      <c r="B48" s="5" t="s">
        <v>55</v>
      </c>
      <c r="C48" s="6">
        <v>17.5</v>
      </c>
      <c r="D48" s="6">
        <v>16.5</v>
      </c>
      <c r="E48" s="6">
        <v>14</v>
      </c>
      <c r="F48" s="6">
        <v>27.5</v>
      </c>
      <c r="G48" s="7">
        <v>202357.82671875</v>
      </c>
      <c r="H48" s="7">
        <v>190794.522334821</v>
      </c>
      <c r="I48" s="7">
        <v>161886.261375</v>
      </c>
      <c r="J48" s="7">
        <v>312663.28999999998</v>
      </c>
      <c r="K48" s="7">
        <v>0</v>
      </c>
      <c r="L48" s="7">
        <v>-25945.2954789371</v>
      </c>
      <c r="M48" s="7">
        <v>0</v>
      </c>
      <c r="N48" s="7">
        <v>0</v>
      </c>
    </row>
    <row r="49" spans="1:14" x14ac:dyDescent="0.75">
      <c r="A49" s="5" t="s">
        <v>61</v>
      </c>
      <c r="B49" s="5" t="s">
        <v>56</v>
      </c>
      <c r="C49" s="6">
        <v>17</v>
      </c>
      <c r="D49" s="6">
        <v>17</v>
      </c>
      <c r="E49" s="6">
        <v>17</v>
      </c>
      <c r="F49" s="6">
        <v>17.350000000000001</v>
      </c>
      <c r="G49" s="7">
        <v>134453</v>
      </c>
      <c r="H49" s="7">
        <v>134453</v>
      </c>
      <c r="I49" s="7">
        <v>138329</v>
      </c>
      <c r="J49" s="7">
        <v>130861.82</v>
      </c>
      <c r="K49" s="7">
        <v>0</v>
      </c>
      <c r="L49" s="7">
        <v>0</v>
      </c>
      <c r="M49" s="7">
        <v>0</v>
      </c>
      <c r="N49" s="7">
        <v>0</v>
      </c>
    </row>
    <row r="50" spans="1:14" x14ac:dyDescent="0.75">
      <c r="A50" s="5" t="s">
        <v>61</v>
      </c>
      <c r="B50" s="5" t="s">
        <v>57</v>
      </c>
      <c r="C50" s="6">
        <v>3</v>
      </c>
      <c r="D50" s="6">
        <v>0</v>
      </c>
      <c r="E50" s="6">
        <v>9.34</v>
      </c>
      <c r="F50" s="6">
        <v>13.99</v>
      </c>
      <c r="G50" s="7">
        <v>12900</v>
      </c>
      <c r="H50" s="7">
        <v>7.2759576141834308E-12</v>
      </c>
      <c r="I50" s="7">
        <v>34458.785443847097</v>
      </c>
      <c r="J50" s="7">
        <v>45967.4</v>
      </c>
      <c r="K50" s="7">
        <v>941.68466899580005</v>
      </c>
      <c r="L50" s="7">
        <v>941.68466899580005</v>
      </c>
      <c r="M50" s="7">
        <v>941.68466899580005</v>
      </c>
      <c r="N50" s="7">
        <v>2170.62</v>
      </c>
    </row>
    <row r="51" spans="1:14" x14ac:dyDescent="0.75">
      <c r="A51" s="5" t="s">
        <v>61</v>
      </c>
      <c r="B51" s="5" t="s">
        <v>58</v>
      </c>
      <c r="C51" s="6">
        <v>144.75</v>
      </c>
      <c r="D51" s="6">
        <v>139.75</v>
      </c>
      <c r="E51" s="6">
        <v>125.95</v>
      </c>
      <c r="F51" s="6">
        <v>122.6</v>
      </c>
      <c r="G51" s="7">
        <v>743584.25230562501</v>
      </c>
      <c r="H51" s="7">
        <v>717899.13132788299</v>
      </c>
      <c r="I51" s="7">
        <v>647008.197429316</v>
      </c>
      <c r="J51" s="7">
        <v>606951.80000000005</v>
      </c>
      <c r="K51" s="7">
        <v>0</v>
      </c>
      <c r="L51" s="7">
        <v>0</v>
      </c>
      <c r="M51" s="7">
        <v>0</v>
      </c>
      <c r="N51" s="7">
        <v>0</v>
      </c>
    </row>
    <row r="52" spans="1:14" x14ac:dyDescent="0.75">
      <c r="A52" s="5" t="s">
        <v>61</v>
      </c>
      <c r="B52" s="5" t="s">
        <v>59</v>
      </c>
      <c r="C52" s="6">
        <v>16</v>
      </c>
      <c r="D52" s="6">
        <v>16</v>
      </c>
      <c r="E52" s="6">
        <v>19</v>
      </c>
      <c r="F52" s="6">
        <v>0</v>
      </c>
      <c r="G52" s="7">
        <v>154633.49421122001</v>
      </c>
      <c r="H52" s="7">
        <v>154633.49421122001</v>
      </c>
      <c r="I52" s="7">
        <v>183627.274375824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</row>
    <row r="53" spans="1:14" x14ac:dyDescent="0.75">
      <c r="A53" s="5" t="s">
        <v>61</v>
      </c>
      <c r="B53" s="5" t="s">
        <v>60</v>
      </c>
      <c r="C53" s="6">
        <v>0</v>
      </c>
      <c r="D53" s="6">
        <v>0</v>
      </c>
      <c r="E53" s="6">
        <v>0</v>
      </c>
      <c r="F53" s="6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</row>
    <row r="54" spans="1:14" x14ac:dyDescent="0.75">
      <c r="A54" s="5" t="s">
        <v>62</v>
      </c>
      <c r="B54" s="5" t="s">
        <v>35</v>
      </c>
      <c r="C54" s="6">
        <v>273.5</v>
      </c>
      <c r="D54" s="6">
        <v>264.5</v>
      </c>
      <c r="E54" s="6">
        <v>327.07684631017202</v>
      </c>
      <c r="F54" s="6">
        <v>338.04</v>
      </c>
      <c r="G54" s="7">
        <v>809385.72894855705</v>
      </c>
      <c r="H54" s="7">
        <v>778379.50897072698</v>
      </c>
      <c r="I54" s="7">
        <v>959977.50222962606</v>
      </c>
      <c r="J54" s="7">
        <v>917805.8</v>
      </c>
      <c r="K54" s="7">
        <v>80276.729055245494</v>
      </c>
      <c r="L54" s="7">
        <v>77201.461193256997</v>
      </c>
      <c r="M54" s="7">
        <v>95212.765791818107</v>
      </c>
      <c r="N54" s="7">
        <v>100169.63</v>
      </c>
    </row>
    <row r="55" spans="1:14" x14ac:dyDescent="0.75">
      <c r="A55" s="5" t="s">
        <v>62</v>
      </c>
      <c r="B55" s="5" t="s">
        <v>36</v>
      </c>
      <c r="C55" s="6">
        <v>406</v>
      </c>
      <c r="D55" s="6">
        <v>421.5</v>
      </c>
      <c r="E55" s="6">
        <v>488.07435074930299</v>
      </c>
      <c r="F55" s="6">
        <v>513.73</v>
      </c>
      <c r="G55" s="7">
        <v>1226106.273944</v>
      </c>
      <c r="H55" s="7">
        <v>1261653.33490819</v>
      </c>
      <c r="I55" s="7">
        <v>1448390.9737309499</v>
      </c>
      <c r="J55" s="7">
        <v>1435448.61</v>
      </c>
      <c r="K55" s="7">
        <v>218914.23692322301</v>
      </c>
      <c r="L55" s="7">
        <v>225260.96060550801</v>
      </c>
      <c r="M55" s="7">
        <v>258601.89407633399</v>
      </c>
      <c r="N55" s="7">
        <v>308989.40999999997</v>
      </c>
    </row>
    <row r="56" spans="1:14" x14ac:dyDescent="0.75">
      <c r="A56" s="5" t="s">
        <v>62</v>
      </c>
      <c r="B56" s="5" t="s">
        <v>37</v>
      </c>
      <c r="C56" s="6">
        <v>0</v>
      </c>
      <c r="D56" s="6">
        <v>0</v>
      </c>
      <c r="E56" s="6">
        <v>0</v>
      </c>
      <c r="F56" s="6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</row>
    <row r="57" spans="1:14" x14ac:dyDescent="0.75">
      <c r="A57" s="5" t="s">
        <v>62</v>
      </c>
      <c r="B57" s="5" t="s">
        <v>38</v>
      </c>
      <c r="C57" s="6">
        <v>0</v>
      </c>
      <c r="D57" s="6">
        <v>0</v>
      </c>
      <c r="E57" s="6">
        <v>8.5</v>
      </c>
      <c r="F57" s="6">
        <v>3.46</v>
      </c>
      <c r="G57" s="7">
        <v>0</v>
      </c>
      <c r="H57" s="7">
        <v>0</v>
      </c>
      <c r="I57" s="7">
        <v>26850.198663856499</v>
      </c>
      <c r="J57" s="7">
        <v>9320.98</v>
      </c>
      <c r="K57" s="7">
        <v>0</v>
      </c>
      <c r="L57" s="7">
        <v>0</v>
      </c>
      <c r="M57" s="7">
        <v>3197.5438396627901</v>
      </c>
      <c r="N57" s="7">
        <v>1654.17</v>
      </c>
    </row>
    <row r="58" spans="1:14" x14ac:dyDescent="0.75">
      <c r="A58" s="5" t="s">
        <v>62</v>
      </c>
      <c r="B58" s="5" t="s">
        <v>39</v>
      </c>
      <c r="C58" s="6">
        <v>6.5</v>
      </c>
      <c r="D58" s="6">
        <v>6.5</v>
      </c>
      <c r="E58" s="6">
        <v>1.85562982650029</v>
      </c>
      <c r="F58" s="6">
        <v>3.66</v>
      </c>
      <c r="G58" s="7">
        <v>23341.4189526185</v>
      </c>
      <c r="H58" s="7">
        <v>20621.468827930199</v>
      </c>
      <c r="I58" s="7">
        <v>6020.1490465802499</v>
      </c>
      <c r="J58" s="7">
        <v>10560.3</v>
      </c>
      <c r="K58" s="7">
        <v>2780.24960200949</v>
      </c>
      <c r="L58" s="7">
        <v>2456.27014441949</v>
      </c>
      <c r="M58" s="7">
        <v>717.07367168930898</v>
      </c>
      <c r="N58" s="7">
        <v>2106.6999999999998</v>
      </c>
    </row>
    <row r="59" spans="1:14" x14ac:dyDescent="0.75">
      <c r="A59" s="5" t="s">
        <v>62</v>
      </c>
      <c r="B59" s="5" t="s">
        <v>40</v>
      </c>
      <c r="C59" s="6">
        <v>12.5</v>
      </c>
      <c r="D59" s="6">
        <v>13</v>
      </c>
      <c r="E59" s="6">
        <v>5.33</v>
      </c>
      <c r="F59" s="6">
        <v>4.54</v>
      </c>
      <c r="G59" s="7">
        <v>35788.082329317302</v>
      </c>
      <c r="H59" s="7">
        <v>37219.605622490002</v>
      </c>
      <c r="I59" s="7">
        <v>17095.692450877301</v>
      </c>
      <c r="J59" s="7">
        <v>12962.95</v>
      </c>
      <c r="K59" s="7">
        <v>4262.4353882965897</v>
      </c>
      <c r="L59" s="7">
        <v>4432.9328038284502</v>
      </c>
      <c r="M59" s="7">
        <v>2036.1326941052801</v>
      </c>
      <c r="N59" s="7">
        <v>482.33</v>
      </c>
    </row>
    <row r="60" spans="1:14" x14ac:dyDescent="0.75">
      <c r="A60" s="5" t="s">
        <v>62</v>
      </c>
      <c r="B60" s="5" t="s">
        <v>41</v>
      </c>
      <c r="C60" s="6">
        <v>0</v>
      </c>
      <c r="D60" s="6">
        <v>0</v>
      </c>
      <c r="E60" s="6">
        <v>0</v>
      </c>
      <c r="F60" s="6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</row>
    <row r="61" spans="1:14" x14ac:dyDescent="0.75">
      <c r="A61" s="5" t="s">
        <v>62</v>
      </c>
      <c r="B61" s="5" t="s">
        <v>42</v>
      </c>
      <c r="C61" s="6">
        <v>385.5</v>
      </c>
      <c r="D61" s="6">
        <v>390</v>
      </c>
      <c r="E61" s="6">
        <v>429.12662810838998</v>
      </c>
      <c r="F61" s="6">
        <v>453.9</v>
      </c>
      <c r="G61" s="7">
        <v>1139800.38708376</v>
      </c>
      <c r="H61" s="7">
        <v>1159886.26616964</v>
      </c>
      <c r="I61" s="7">
        <v>1325787.5683023201</v>
      </c>
      <c r="J61" s="7">
        <v>1278276.56</v>
      </c>
      <c r="K61" s="7">
        <v>113094.61414983599</v>
      </c>
      <c r="L61" s="7">
        <v>115087.59886086</v>
      </c>
      <c r="M61" s="7">
        <v>131548.852922772</v>
      </c>
      <c r="N61" s="7">
        <v>170869.46</v>
      </c>
    </row>
    <row r="62" spans="1:14" x14ac:dyDescent="0.75">
      <c r="A62" s="5" t="s">
        <v>62</v>
      </c>
      <c r="B62" s="5" t="s">
        <v>43</v>
      </c>
      <c r="C62" s="6">
        <v>131</v>
      </c>
      <c r="D62" s="6">
        <v>136.5</v>
      </c>
      <c r="E62" s="6">
        <v>142.78</v>
      </c>
      <c r="F62" s="6">
        <v>148.79</v>
      </c>
      <c r="G62" s="7">
        <v>567201.92857142899</v>
      </c>
      <c r="H62" s="7">
        <v>560616.44204152306</v>
      </c>
      <c r="I62" s="7">
        <v>526310.871850261</v>
      </c>
      <c r="J62" s="7">
        <v>511342.16</v>
      </c>
      <c r="K62" s="7">
        <v>67621.076868033895</v>
      </c>
      <c r="L62" s="7">
        <v>66835.963721515305</v>
      </c>
      <c r="M62" s="7">
        <v>62746.098222031404</v>
      </c>
      <c r="N62" s="7">
        <v>74996.45</v>
      </c>
    </row>
    <row r="63" spans="1:14" x14ac:dyDescent="0.75">
      <c r="A63" s="5" t="s">
        <v>62</v>
      </c>
      <c r="B63" s="5" t="s">
        <v>44</v>
      </c>
      <c r="C63" s="6">
        <v>0</v>
      </c>
      <c r="D63" s="6">
        <v>0</v>
      </c>
      <c r="E63" s="6">
        <v>0</v>
      </c>
      <c r="F63" s="6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</row>
    <row r="64" spans="1:14" x14ac:dyDescent="0.75">
      <c r="A64" s="5" t="s">
        <v>62</v>
      </c>
      <c r="B64" s="5" t="s">
        <v>45</v>
      </c>
      <c r="C64" s="6">
        <v>461.5</v>
      </c>
      <c r="D64" s="6">
        <v>353</v>
      </c>
      <c r="E64" s="6">
        <v>336.70232583980902</v>
      </c>
      <c r="F64" s="6">
        <v>314.85000000000002</v>
      </c>
      <c r="G64" s="7">
        <v>1211568.7863960699</v>
      </c>
      <c r="H64" s="7">
        <v>926725.42058030795</v>
      </c>
      <c r="I64" s="7">
        <v>815433.57456511795</v>
      </c>
      <c r="J64" s="7">
        <v>756848.72</v>
      </c>
      <c r="K64" s="7">
        <v>63148.189041667101</v>
      </c>
      <c r="L64" s="7">
        <v>48301.8650741245</v>
      </c>
      <c r="M64" s="7">
        <v>42501.221635737202</v>
      </c>
      <c r="N64" s="7">
        <v>23769.040000000001</v>
      </c>
    </row>
    <row r="65" spans="1:14" x14ac:dyDescent="0.75">
      <c r="A65" s="5" t="s">
        <v>62</v>
      </c>
      <c r="B65" s="5" t="s">
        <v>46</v>
      </c>
      <c r="C65" s="6">
        <v>115.5</v>
      </c>
      <c r="D65" s="6">
        <v>111.5</v>
      </c>
      <c r="E65" s="6">
        <v>72.899738777169006</v>
      </c>
      <c r="F65" s="6">
        <v>65.459999999999994</v>
      </c>
      <c r="G65" s="7">
        <v>339690.495085512</v>
      </c>
      <c r="H65" s="7">
        <v>327926.32209553802</v>
      </c>
      <c r="I65" s="7">
        <v>156489.08055794999</v>
      </c>
      <c r="J65" s="7">
        <v>144264.54</v>
      </c>
      <c r="K65" s="7">
        <v>16794.632795538098</v>
      </c>
      <c r="L65" s="7">
        <v>16213.000490930701</v>
      </c>
      <c r="M65" s="7">
        <v>7736.9743413649003</v>
      </c>
      <c r="N65" s="7">
        <v>12306.92</v>
      </c>
    </row>
    <row r="66" spans="1:14" x14ac:dyDescent="0.75">
      <c r="A66" s="5" t="s">
        <v>62</v>
      </c>
      <c r="B66" s="5" t="s">
        <v>47</v>
      </c>
      <c r="C66" s="6">
        <v>53</v>
      </c>
      <c r="D66" s="6">
        <v>53.5</v>
      </c>
      <c r="E66" s="6">
        <v>46.000833333333297</v>
      </c>
      <c r="F66" s="6">
        <v>51.54</v>
      </c>
      <c r="G66" s="7">
        <v>172491.915956843</v>
      </c>
      <c r="H66" s="7">
        <v>171444.19818285099</v>
      </c>
      <c r="I66" s="7">
        <v>166760.22471235099</v>
      </c>
      <c r="J66" s="7">
        <v>156712.71</v>
      </c>
      <c r="K66" s="7">
        <v>25662.065747503199</v>
      </c>
      <c r="L66" s="7">
        <v>25506.194080985599</v>
      </c>
      <c r="M66" s="7">
        <v>24809.347307078799</v>
      </c>
      <c r="N66" s="7">
        <v>24642.46</v>
      </c>
    </row>
    <row r="67" spans="1:14" x14ac:dyDescent="0.75">
      <c r="A67" s="5" t="s">
        <v>62</v>
      </c>
      <c r="B67" s="5" t="s">
        <v>48</v>
      </c>
      <c r="C67" s="6">
        <v>32</v>
      </c>
      <c r="D67" s="6">
        <v>33</v>
      </c>
      <c r="E67" s="6">
        <v>31.0408333333333</v>
      </c>
      <c r="F67" s="6">
        <v>30.96</v>
      </c>
      <c r="G67" s="7">
        <v>177165.029247453</v>
      </c>
      <c r="H67" s="7">
        <v>177751.43641143601</v>
      </c>
      <c r="I67" s="7">
        <v>159649.63902861299</v>
      </c>
      <c r="J67" s="7">
        <v>161935.43</v>
      </c>
      <c r="K67" s="7">
        <v>20862.6836677432</v>
      </c>
      <c r="L67" s="7">
        <v>20931.7380811037</v>
      </c>
      <c r="M67" s="7">
        <v>18800.098026519699</v>
      </c>
      <c r="N67" s="7">
        <v>35686.33</v>
      </c>
    </row>
    <row r="68" spans="1:14" x14ac:dyDescent="0.75">
      <c r="A68" s="5" t="s">
        <v>62</v>
      </c>
      <c r="B68" s="5" t="s">
        <v>49</v>
      </c>
      <c r="C68" s="6">
        <v>59.9803</v>
      </c>
      <c r="D68" s="6">
        <v>59.9803</v>
      </c>
      <c r="E68" s="6">
        <v>67.348954736021597</v>
      </c>
      <c r="F68" s="6">
        <v>72.067300000000003</v>
      </c>
      <c r="G68" s="7">
        <v>241307.07476259299</v>
      </c>
      <c r="H68" s="7">
        <v>257841.908237203</v>
      </c>
      <c r="I68" s="7">
        <v>230101.34356142001</v>
      </c>
      <c r="J68" s="7">
        <v>274392.53000000003</v>
      </c>
      <c r="K68" s="7">
        <v>22261.6957796354</v>
      </c>
      <c r="L68" s="7">
        <v>24318.620996305501</v>
      </c>
      <c r="M68" s="7">
        <v>23267.756551268001</v>
      </c>
      <c r="N68" s="7">
        <v>52173.37</v>
      </c>
    </row>
    <row r="69" spans="1:14" x14ac:dyDescent="0.75">
      <c r="A69" s="5" t="s">
        <v>62</v>
      </c>
      <c r="B69" s="5" t="s">
        <v>50</v>
      </c>
      <c r="C69" s="6">
        <v>145.5</v>
      </c>
      <c r="D69" s="6">
        <v>147.5</v>
      </c>
      <c r="E69" s="6">
        <v>153</v>
      </c>
      <c r="F69" s="6">
        <v>150.97</v>
      </c>
      <c r="G69" s="7">
        <v>467903.85314685298</v>
      </c>
      <c r="H69" s="7">
        <v>474335.52123134601</v>
      </c>
      <c r="I69" s="7">
        <v>539791.917331615</v>
      </c>
      <c r="J69" s="7">
        <v>451408.51</v>
      </c>
      <c r="K69" s="7">
        <v>47756.810931579501</v>
      </c>
      <c r="L69" s="7">
        <v>48481.990463285001</v>
      </c>
      <c r="M69" s="7">
        <v>60862.290262271003</v>
      </c>
      <c r="N69" s="7">
        <v>56761.31</v>
      </c>
    </row>
    <row r="70" spans="1:14" x14ac:dyDescent="0.75">
      <c r="A70" s="5" t="s">
        <v>62</v>
      </c>
      <c r="B70" s="5" t="s">
        <v>51</v>
      </c>
      <c r="C70" s="6">
        <v>6</v>
      </c>
      <c r="D70" s="6">
        <v>6.5</v>
      </c>
      <c r="E70" s="6">
        <v>6.3966666666666798</v>
      </c>
      <c r="F70" s="6">
        <v>5.94</v>
      </c>
      <c r="G70" s="7">
        <v>36946.267379679201</v>
      </c>
      <c r="H70" s="7">
        <v>40025.122994652404</v>
      </c>
      <c r="I70" s="7">
        <v>37340.296218254</v>
      </c>
      <c r="J70" s="7">
        <v>30838.75</v>
      </c>
      <c r="K70" s="7">
        <v>3597.6209266146002</v>
      </c>
      <c r="L70" s="7">
        <v>3897.4226704991502</v>
      </c>
      <c r="M70" s="7">
        <v>3635.9892516412901</v>
      </c>
      <c r="N70" s="7">
        <v>7971.74</v>
      </c>
    </row>
    <row r="71" spans="1:14" x14ac:dyDescent="0.75">
      <c r="A71" s="5" t="s">
        <v>62</v>
      </c>
      <c r="B71" s="5" t="s">
        <v>52</v>
      </c>
      <c r="C71" s="6">
        <v>48</v>
      </c>
      <c r="D71" s="6">
        <v>48</v>
      </c>
      <c r="E71" s="6">
        <v>35</v>
      </c>
      <c r="F71" s="6">
        <v>30.48</v>
      </c>
      <c r="G71" s="7">
        <v>144645.65713037801</v>
      </c>
      <c r="H71" s="7">
        <v>144645.65713037801</v>
      </c>
      <c r="I71" s="7">
        <v>121040.50399197399</v>
      </c>
      <c r="J71" s="7">
        <v>91604.479999999996</v>
      </c>
      <c r="K71" s="7">
        <v>5622.0354570062</v>
      </c>
      <c r="L71" s="7">
        <v>5622.0354570062</v>
      </c>
      <c r="M71" s="7">
        <v>4704.5588417729296</v>
      </c>
      <c r="N71" s="7">
        <v>6993.95</v>
      </c>
    </row>
    <row r="72" spans="1:14" x14ac:dyDescent="0.75">
      <c r="A72" s="5" t="s">
        <v>62</v>
      </c>
      <c r="B72" s="5" t="s">
        <v>53</v>
      </c>
      <c r="C72" s="6">
        <v>47</v>
      </c>
      <c r="D72" s="6">
        <v>48</v>
      </c>
      <c r="E72" s="6">
        <v>48.26</v>
      </c>
      <c r="F72" s="6">
        <v>45.33</v>
      </c>
      <c r="G72" s="7">
        <v>315765.44618689601</v>
      </c>
      <c r="H72" s="7">
        <v>322483.85993555299</v>
      </c>
      <c r="I72" s="7">
        <v>322098.57378702</v>
      </c>
      <c r="J72" s="7">
        <v>295101.42</v>
      </c>
      <c r="K72" s="7">
        <v>0</v>
      </c>
      <c r="L72" s="7">
        <v>0</v>
      </c>
      <c r="M72" s="7">
        <v>0</v>
      </c>
      <c r="N72" s="7">
        <v>0</v>
      </c>
    </row>
    <row r="73" spans="1:14" x14ac:dyDescent="0.75">
      <c r="A73" s="5" t="s">
        <v>62</v>
      </c>
      <c r="B73" s="5" t="s">
        <v>54</v>
      </c>
      <c r="C73" s="6">
        <v>391.4803</v>
      </c>
      <c r="D73" s="6">
        <v>396.4803</v>
      </c>
      <c r="E73" s="6">
        <v>387.04728806935498</v>
      </c>
      <c r="F73" s="6">
        <v>387.28730000000002</v>
      </c>
      <c r="G73" s="7">
        <v>1556225.2438107</v>
      </c>
      <c r="H73" s="7">
        <v>1588527.7041234199</v>
      </c>
      <c r="I73" s="7">
        <v>1576782.4986312501</v>
      </c>
      <c r="J73" s="7">
        <v>1461993.83</v>
      </c>
      <c r="K73" s="7">
        <v>125762.91251008199</v>
      </c>
      <c r="L73" s="7">
        <v>128758.001749185</v>
      </c>
      <c r="M73" s="7">
        <v>136080.04024055201</v>
      </c>
      <c r="N73" s="7">
        <v>184229.16</v>
      </c>
    </row>
    <row r="74" spans="1:14" x14ac:dyDescent="0.75">
      <c r="A74" s="5" t="s">
        <v>62</v>
      </c>
      <c r="B74" s="5" t="s">
        <v>55</v>
      </c>
      <c r="C74" s="6">
        <v>26.5</v>
      </c>
      <c r="D74" s="6">
        <v>26.5</v>
      </c>
      <c r="E74" s="6">
        <v>24.95</v>
      </c>
      <c r="F74" s="6">
        <v>22.38</v>
      </c>
      <c r="G74" s="7">
        <v>331797.69279112801</v>
      </c>
      <c r="H74" s="7">
        <v>331797.69279112801</v>
      </c>
      <c r="I74" s="7">
        <v>313490.64762449602</v>
      </c>
      <c r="J74" s="7">
        <v>250645.58</v>
      </c>
      <c r="K74" s="7">
        <v>0</v>
      </c>
      <c r="L74" s="7">
        <v>0</v>
      </c>
      <c r="M74" s="7">
        <v>0</v>
      </c>
      <c r="N74" s="7">
        <v>0</v>
      </c>
    </row>
    <row r="75" spans="1:14" x14ac:dyDescent="0.75">
      <c r="A75" s="5" t="s">
        <v>62</v>
      </c>
      <c r="B75" s="5" t="s">
        <v>56</v>
      </c>
      <c r="C75" s="6">
        <v>26</v>
      </c>
      <c r="D75" s="6">
        <v>26</v>
      </c>
      <c r="E75" s="6">
        <v>24.58</v>
      </c>
      <c r="F75" s="6">
        <v>24.58</v>
      </c>
      <c r="G75" s="7">
        <v>197458.15669291301</v>
      </c>
      <c r="H75" s="7">
        <v>197458.15669291301</v>
      </c>
      <c r="I75" s="7">
        <v>182493.72002603899</v>
      </c>
      <c r="J75" s="7">
        <v>179905.12</v>
      </c>
      <c r="K75" s="7">
        <v>0</v>
      </c>
      <c r="L75" s="7">
        <v>0</v>
      </c>
      <c r="M75" s="7">
        <v>0</v>
      </c>
      <c r="N75" s="7">
        <v>0</v>
      </c>
    </row>
    <row r="76" spans="1:14" x14ac:dyDescent="0.75">
      <c r="A76" s="5" t="s">
        <v>62</v>
      </c>
      <c r="B76" s="5" t="s">
        <v>57</v>
      </c>
      <c r="C76" s="6">
        <v>27.5</v>
      </c>
      <c r="D76" s="6">
        <v>28.5</v>
      </c>
      <c r="E76" s="6">
        <v>17.98</v>
      </c>
      <c r="F76" s="6">
        <v>38.61</v>
      </c>
      <c r="G76" s="7">
        <v>113160.143873262</v>
      </c>
      <c r="H76" s="7">
        <v>117275.058195926</v>
      </c>
      <c r="I76" s="7">
        <v>89567.602603684907</v>
      </c>
      <c r="J76" s="7">
        <v>178559.88</v>
      </c>
      <c r="K76" s="7">
        <v>22625.956100731801</v>
      </c>
      <c r="L76" s="7">
        <v>23448.718140758399</v>
      </c>
      <c r="M76" s="7">
        <v>17908.713926950099</v>
      </c>
      <c r="N76" s="7">
        <v>13178.03</v>
      </c>
    </row>
    <row r="77" spans="1:14" x14ac:dyDescent="0.75">
      <c r="A77" s="5" t="s">
        <v>62</v>
      </c>
      <c r="B77" s="5" t="s">
        <v>58</v>
      </c>
      <c r="C77" s="6">
        <v>149.5</v>
      </c>
      <c r="D77" s="6">
        <v>148.5</v>
      </c>
      <c r="E77" s="6">
        <v>163.38</v>
      </c>
      <c r="F77" s="6">
        <v>153.68</v>
      </c>
      <c r="G77" s="7">
        <v>765628.08621509594</v>
      </c>
      <c r="H77" s="7">
        <v>760506.82811332296</v>
      </c>
      <c r="I77" s="7">
        <v>826019.43778341799</v>
      </c>
      <c r="J77" s="7">
        <v>777313.69</v>
      </c>
      <c r="K77" s="7">
        <v>0</v>
      </c>
      <c r="L77" s="7">
        <v>0</v>
      </c>
      <c r="M77" s="7">
        <v>0</v>
      </c>
      <c r="N77" s="7">
        <v>3.32</v>
      </c>
    </row>
    <row r="78" spans="1:14" x14ac:dyDescent="0.75">
      <c r="A78" s="5" t="s">
        <v>62</v>
      </c>
      <c r="B78" s="5" t="s">
        <v>59</v>
      </c>
      <c r="C78" s="6">
        <v>0</v>
      </c>
      <c r="D78" s="6">
        <v>0</v>
      </c>
      <c r="E78" s="6">
        <v>0</v>
      </c>
      <c r="F78" s="6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</row>
    <row r="79" spans="1:14" x14ac:dyDescent="0.75">
      <c r="A79" s="5" t="s">
        <v>62</v>
      </c>
      <c r="B79" s="5" t="s">
        <v>60</v>
      </c>
      <c r="C79" s="6">
        <v>0</v>
      </c>
      <c r="D79" s="6">
        <v>0</v>
      </c>
      <c r="E79" s="6">
        <v>0</v>
      </c>
      <c r="F79" s="6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</row>
    <row r="80" spans="1:14" x14ac:dyDescent="0.75">
      <c r="A80" s="5" t="s">
        <v>63</v>
      </c>
      <c r="B80" s="5" t="s">
        <v>35</v>
      </c>
      <c r="C80" s="6">
        <v>404.62774999999999</v>
      </c>
      <c r="D80" s="6">
        <v>434.62774999999999</v>
      </c>
      <c r="E80" s="6">
        <v>464.62774999999999</v>
      </c>
      <c r="F80" s="6">
        <v>454.48</v>
      </c>
      <c r="G80" s="7">
        <v>1395325.05122194</v>
      </c>
      <c r="H80" s="7">
        <v>1498291.28690142</v>
      </c>
      <c r="I80" s="7">
        <v>1545325.05122194</v>
      </c>
      <c r="J80" s="7">
        <v>1460626.28</v>
      </c>
      <c r="K80" s="7">
        <v>165271.06200000001</v>
      </c>
      <c r="L80" s="7">
        <v>190271.06200000001</v>
      </c>
      <c r="M80" s="7">
        <v>190271.06200000001</v>
      </c>
      <c r="N80" s="7">
        <v>191188.93</v>
      </c>
    </row>
    <row r="81" spans="1:14" x14ac:dyDescent="0.75">
      <c r="A81" s="5" t="s">
        <v>63</v>
      </c>
      <c r="B81" s="5" t="s">
        <v>36</v>
      </c>
      <c r="C81" s="6">
        <v>562.94674999999995</v>
      </c>
      <c r="D81" s="6">
        <v>549.74675000000002</v>
      </c>
      <c r="E81" s="6">
        <v>625.84675000000004</v>
      </c>
      <c r="F81" s="6">
        <v>620.54999999999995</v>
      </c>
      <c r="G81" s="7">
        <v>2155538.6481734598</v>
      </c>
      <c r="H81" s="7">
        <v>2037030.48420253</v>
      </c>
      <c r="I81" s="7">
        <v>2235335.6481734598</v>
      </c>
      <c r="J81" s="7">
        <v>2074451.38</v>
      </c>
      <c r="K81" s="7">
        <v>312031.2745</v>
      </c>
      <c r="L81" s="7">
        <v>322031.2745</v>
      </c>
      <c r="M81" s="7">
        <v>378263.43400000001</v>
      </c>
      <c r="N81" s="7">
        <v>408238.07</v>
      </c>
    </row>
    <row r="82" spans="1:14" x14ac:dyDescent="0.75">
      <c r="A82" s="5" t="s">
        <v>63</v>
      </c>
      <c r="B82" s="5" t="s">
        <v>37</v>
      </c>
      <c r="C82" s="6">
        <v>0</v>
      </c>
      <c r="D82" s="6">
        <v>0</v>
      </c>
      <c r="E82" s="6">
        <v>0</v>
      </c>
      <c r="F82" s="6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</row>
    <row r="83" spans="1:14" x14ac:dyDescent="0.75">
      <c r="A83" s="5" t="s">
        <v>63</v>
      </c>
      <c r="B83" s="5" t="s">
        <v>38</v>
      </c>
      <c r="C83" s="6">
        <v>22.6934</v>
      </c>
      <c r="D83" s="6">
        <v>24.6934</v>
      </c>
      <c r="E83" s="6">
        <v>25.8934</v>
      </c>
      <c r="F83" s="6">
        <v>31.54</v>
      </c>
      <c r="G83" s="7">
        <v>90285.542334285099</v>
      </c>
      <c r="H83" s="7">
        <v>98745.542334285099</v>
      </c>
      <c r="I83" s="7">
        <v>96285.542334285099</v>
      </c>
      <c r="J83" s="7">
        <v>124611.56</v>
      </c>
      <c r="K83" s="7">
        <v>8150.5484999999999</v>
      </c>
      <c r="L83" s="7">
        <v>8150.5484999999999</v>
      </c>
      <c r="M83" s="7">
        <v>8150.5484999999999</v>
      </c>
      <c r="N83" s="7">
        <v>10223.73</v>
      </c>
    </row>
    <row r="84" spans="1:14" x14ac:dyDescent="0.75">
      <c r="A84" s="5" t="s">
        <v>63</v>
      </c>
      <c r="B84" s="5" t="s">
        <v>39</v>
      </c>
      <c r="C84" s="6">
        <v>85.062799999999996</v>
      </c>
      <c r="D84" s="6">
        <v>85.062799999999996</v>
      </c>
      <c r="E84" s="6">
        <v>89.662800000000004</v>
      </c>
      <c r="F84" s="6">
        <v>100.37</v>
      </c>
      <c r="G84" s="7">
        <v>309811.41264362697</v>
      </c>
      <c r="H84" s="7">
        <v>309811.41264362697</v>
      </c>
      <c r="I84" s="7">
        <v>316328.41264362697</v>
      </c>
      <c r="J84" s="7">
        <v>341768.93</v>
      </c>
      <c r="K84" s="7">
        <v>20528.743999999999</v>
      </c>
      <c r="L84" s="7">
        <v>20528.743999999999</v>
      </c>
      <c r="M84" s="7">
        <v>20528.743999999999</v>
      </c>
      <c r="N84" s="7">
        <v>30061.21</v>
      </c>
    </row>
    <row r="85" spans="1:14" x14ac:dyDescent="0.75">
      <c r="A85" s="5" t="s">
        <v>63</v>
      </c>
      <c r="B85" s="5" t="s">
        <v>40</v>
      </c>
      <c r="C85" s="6">
        <v>47.614421428571397</v>
      </c>
      <c r="D85" s="6">
        <v>47.614421428571397</v>
      </c>
      <c r="E85" s="6">
        <v>49.3144214285714</v>
      </c>
      <c r="F85" s="6">
        <v>63.54</v>
      </c>
      <c r="G85" s="7">
        <v>175681.496098</v>
      </c>
      <c r="H85" s="7">
        <v>168052.44040275301</v>
      </c>
      <c r="I85" s="7">
        <v>182681.496098</v>
      </c>
      <c r="J85" s="7">
        <v>225179.54</v>
      </c>
      <c r="K85" s="7">
        <v>20655.875</v>
      </c>
      <c r="L85" s="7">
        <v>20655.875</v>
      </c>
      <c r="M85" s="7">
        <v>20655.875</v>
      </c>
      <c r="N85" s="7">
        <v>19569.759999999998</v>
      </c>
    </row>
    <row r="86" spans="1:14" x14ac:dyDescent="0.75">
      <c r="A86" s="5" t="s">
        <v>63</v>
      </c>
      <c r="B86" s="5" t="s">
        <v>41</v>
      </c>
      <c r="C86" s="6">
        <v>4.0193142857142901</v>
      </c>
      <c r="D86" s="6">
        <v>4.0193142857142901</v>
      </c>
      <c r="E86" s="6">
        <v>3.8193142857142899</v>
      </c>
      <c r="F86" s="6">
        <v>7.22</v>
      </c>
      <c r="G86" s="7">
        <v>14111.9541680692</v>
      </c>
      <c r="H86" s="7">
        <v>14111.9541680692</v>
      </c>
      <c r="I86" s="7">
        <v>12008.9541680692</v>
      </c>
      <c r="J86" s="7">
        <v>22759.94</v>
      </c>
      <c r="K86" s="7">
        <v>65.465000000000003</v>
      </c>
      <c r="L86" s="7">
        <v>65.465000000000003</v>
      </c>
      <c r="M86" s="7">
        <v>65.465000000000003</v>
      </c>
      <c r="N86" s="7">
        <v>3530.68</v>
      </c>
    </row>
    <row r="87" spans="1:14" x14ac:dyDescent="0.75">
      <c r="A87" s="5" t="s">
        <v>63</v>
      </c>
      <c r="B87" s="5" t="s">
        <v>42</v>
      </c>
      <c r="C87" s="6">
        <v>285.29725999999999</v>
      </c>
      <c r="D87" s="6">
        <v>285.29725999999999</v>
      </c>
      <c r="E87" s="6">
        <v>296.89726000000002</v>
      </c>
      <c r="F87" s="6">
        <v>263.83999999999997</v>
      </c>
      <c r="G87" s="7">
        <v>1045370.8131744</v>
      </c>
      <c r="H87" s="7">
        <v>1045370.8131744</v>
      </c>
      <c r="I87" s="7">
        <v>1042288.8131744</v>
      </c>
      <c r="J87" s="7">
        <v>899689.75</v>
      </c>
      <c r="K87" s="7">
        <v>73735.959499999997</v>
      </c>
      <c r="L87" s="7">
        <v>93735.959499999997</v>
      </c>
      <c r="M87" s="7">
        <v>93735.959499999997</v>
      </c>
      <c r="N87" s="7">
        <v>88119.66</v>
      </c>
    </row>
    <row r="88" spans="1:14" x14ac:dyDescent="0.75">
      <c r="A88" s="5" t="s">
        <v>63</v>
      </c>
      <c r="B88" s="5" t="s">
        <v>43</v>
      </c>
      <c r="C88" s="6">
        <v>71.155199999999994</v>
      </c>
      <c r="D88" s="6">
        <v>72.155199999999994</v>
      </c>
      <c r="E88" s="6">
        <v>80.655199999999994</v>
      </c>
      <c r="F88" s="6">
        <v>74.64</v>
      </c>
      <c r="G88" s="7">
        <v>320426.080015535</v>
      </c>
      <c r="H88" s="7">
        <v>325026.080015535</v>
      </c>
      <c r="I88" s="7">
        <v>344597.080015535</v>
      </c>
      <c r="J88" s="7">
        <v>323268.05</v>
      </c>
      <c r="K88" s="7">
        <v>31254.600999999999</v>
      </c>
      <c r="L88" s="7">
        <v>31254.600999999999</v>
      </c>
      <c r="M88" s="7">
        <v>31254.600999999999</v>
      </c>
      <c r="N88" s="7">
        <v>36702.97</v>
      </c>
    </row>
    <row r="89" spans="1:14" x14ac:dyDescent="0.75">
      <c r="A89" s="5" t="s">
        <v>63</v>
      </c>
      <c r="B89" s="5" t="s">
        <v>44</v>
      </c>
      <c r="C89" s="6">
        <v>7.6180000000000003</v>
      </c>
      <c r="D89" s="6">
        <v>7.6180000000000003</v>
      </c>
      <c r="E89" s="6">
        <v>8.1180000000000003</v>
      </c>
      <c r="F89" s="6">
        <v>8.8800000000000008</v>
      </c>
      <c r="G89" s="7">
        <v>27130.9335684857</v>
      </c>
      <c r="H89" s="7">
        <v>27130.9335684857</v>
      </c>
      <c r="I89" s="7">
        <v>26281.9335684857</v>
      </c>
      <c r="J89" s="7">
        <v>30250.33</v>
      </c>
      <c r="K89" s="7">
        <v>176</v>
      </c>
      <c r="L89" s="7">
        <v>176</v>
      </c>
      <c r="M89" s="7">
        <v>176</v>
      </c>
      <c r="N89" s="7">
        <v>2090.36</v>
      </c>
    </row>
    <row r="90" spans="1:14" x14ac:dyDescent="0.75">
      <c r="A90" s="5" t="s">
        <v>63</v>
      </c>
      <c r="B90" s="5" t="s">
        <v>45</v>
      </c>
      <c r="C90" s="6">
        <v>198.7868</v>
      </c>
      <c r="D90" s="6">
        <v>203.7868</v>
      </c>
      <c r="E90" s="6">
        <v>214.7868</v>
      </c>
      <c r="F90" s="6">
        <v>217.96</v>
      </c>
      <c r="G90" s="7">
        <v>693317.05630960304</v>
      </c>
      <c r="H90" s="7">
        <v>646355.05630960304</v>
      </c>
      <c r="I90" s="7">
        <v>660317.05630960304</v>
      </c>
      <c r="J90" s="7">
        <v>659371.93000000005</v>
      </c>
      <c r="K90" s="7">
        <v>78704.454500000007</v>
      </c>
      <c r="L90" s="7">
        <v>98704.454500000007</v>
      </c>
      <c r="M90" s="7">
        <v>98704.454500000007</v>
      </c>
      <c r="N90" s="7">
        <v>96897.91</v>
      </c>
    </row>
    <row r="91" spans="1:14" x14ac:dyDescent="0.75">
      <c r="A91" s="5" t="s">
        <v>63</v>
      </c>
      <c r="B91" s="5" t="s">
        <v>46</v>
      </c>
      <c r="C91" s="6">
        <v>425.86986999999999</v>
      </c>
      <c r="D91" s="6">
        <v>427.86986999999999</v>
      </c>
      <c r="E91" s="6">
        <v>463.26987000000003</v>
      </c>
      <c r="F91" s="6">
        <v>431.45</v>
      </c>
      <c r="G91" s="7">
        <v>1763264.84152657</v>
      </c>
      <c r="H91" s="7">
        <v>1683884.65466334</v>
      </c>
      <c r="I91" s="7">
        <v>1752595.84152657</v>
      </c>
      <c r="J91" s="7">
        <v>1576654.39</v>
      </c>
      <c r="K91" s="7">
        <v>144832.133</v>
      </c>
      <c r="L91" s="7">
        <v>144832.133</v>
      </c>
      <c r="M91" s="7">
        <v>151671.30249999999</v>
      </c>
      <c r="N91" s="7">
        <v>154511.98000000001</v>
      </c>
    </row>
    <row r="92" spans="1:14" x14ac:dyDescent="0.75">
      <c r="A92" s="5" t="s">
        <v>63</v>
      </c>
      <c r="B92" s="5" t="s">
        <v>47</v>
      </c>
      <c r="C92" s="6">
        <v>53.93</v>
      </c>
      <c r="D92" s="6">
        <v>54.94</v>
      </c>
      <c r="E92" s="6">
        <v>48.733333333333299</v>
      </c>
      <c r="F92" s="6">
        <v>66.53</v>
      </c>
      <c r="G92" s="7">
        <v>193652.738951679</v>
      </c>
      <c r="H92" s="7">
        <v>197330.617397419</v>
      </c>
      <c r="I92" s="7">
        <v>192652.738951679</v>
      </c>
      <c r="J92" s="7">
        <v>249204.1</v>
      </c>
      <c r="K92" s="7">
        <v>12238.3415</v>
      </c>
      <c r="L92" s="7">
        <v>12238.3415</v>
      </c>
      <c r="M92" s="7">
        <v>12238.3415</v>
      </c>
      <c r="N92" s="7">
        <v>9850.77</v>
      </c>
    </row>
    <row r="93" spans="1:14" x14ac:dyDescent="0.75">
      <c r="A93" s="5" t="s">
        <v>63</v>
      </c>
      <c r="B93" s="5" t="s">
        <v>48</v>
      </c>
      <c r="C93" s="6">
        <v>51.850833333333298</v>
      </c>
      <c r="D93" s="6">
        <v>51.485833333333296</v>
      </c>
      <c r="E93" s="6">
        <v>50.673333333333296</v>
      </c>
      <c r="F93" s="6">
        <v>49.54</v>
      </c>
      <c r="G93" s="7">
        <v>320728.66902405297</v>
      </c>
      <c r="H93" s="7">
        <v>318728.66902405297</v>
      </c>
      <c r="I93" s="7">
        <v>296186.151450573</v>
      </c>
      <c r="J93" s="7">
        <v>276389.26</v>
      </c>
      <c r="K93" s="7">
        <v>48851.747499999998</v>
      </c>
      <c r="L93" s="7">
        <v>48851.747499999998</v>
      </c>
      <c r="M93" s="7">
        <v>48851.747499999998</v>
      </c>
      <c r="N93" s="7">
        <v>53660.65</v>
      </c>
    </row>
    <row r="94" spans="1:14" x14ac:dyDescent="0.75">
      <c r="A94" s="5" t="s">
        <v>63</v>
      </c>
      <c r="B94" s="5" t="s">
        <v>49</v>
      </c>
      <c r="C94" s="6">
        <v>55.6082234722222</v>
      </c>
      <c r="D94" s="6">
        <v>58.031999999999996</v>
      </c>
      <c r="E94" s="6">
        <v>51.413740138888897</v>
      </c>
      <c r="F94" s="6">
        <v>50.812399999999997</v>
      </c>
      <c r="G94" s="7">
        <v>279567.87306640501</v>
      </c>
      <c r="H94" s="7">
        <v>291568.35004474799</v>
      </c>
      <c r="I94" s="7">
        <v>238848.19801307999</v>
      </c>
      <c r="J94" s="7">
        <v>248719.78</v>
      </c>
      <c r="K94" s="7">
        <v>35117.200499999999</v>
      </c>
      <c r="L94" s="7">
        <v>35117.200499999999</v>
      </c>
      <c r="M94" s="7">
        <v>35117.200499999999</v>
      </c>
      <c r="N94" s="7">
        <v>36671.800000000003</v>
      </c>
    </row>
    <row r="95" spans="1:14" x14ac:dyDescent="0.75">
      <c r="A95" s="5" t="s">
        <v>63</v>
      </c>
      <c r="B95" s="5" t="s">
        <v>50</v>
      </c>
      <c r="C95" s="6">
        <v>171.73416666666699</v>
      </c>
      <c r="D95" s="6">
        <v>174.3</v>
      </c>
      <c r="E95" s="6">
        <v>179.99250000000001</v>
      </c>
      <c r="F95" s="6">
        <v>184.23</v>
      </c>
      <c r="G95" s="7">
        <v>667695.06351692404</v>
      </c>
      <c r="H95" s="7">
        <v>677695.06351692404</v>
      </c>
      <c r="I95" s="7">
        <v>711877.465422209</v>
      </c>
      <c r="J95" s="7">
        <v>718024.62</v>
      </c>
      <c r="K95" s="7">
        <v>53165.055999999997</v>
      </c>
      <c r="L95" s="7">
        <v>53165.055999999997</v>
      </c>
      <c r="M95" s="7">
        <v>53165.055999999997</v>
      </c>
      <c r="N95" s="7">
        <v>58642.15</v>
      </c>
    </row>
    <row r="96" spans="1:14" x14ac:dyDescent="0.75">
      <c r="A96" s="5" t="s">
        <v>63</v>
      </c>
      <c r="B96" s="5" t="s">
        <v>51</v>
      </c>
      <c r="C96" s="6">
        <v>2.5591666666666701</v>
      </c>
      <c r="D96" s="6">
        <v>2.4891666666666699</v>
      </c>
      <c r="E96" s="6">
        <v>2.4891666666666699</v>
      </c>
      <c r="F96" s="6">
        <v>2.0699999999999998</v>
      </c>
      <c r="G96" s="7">
        <v>13768.1983454941</v>
      </c>
      <c r="H96" s="7">
        <v>13768.1983454941</v>
      </c>
      <c r="I96" s="7">
        <v>14798.2149107802</v>
      </c>
      <c r="J96" s="7">
        <v>9582.7199999999993</v>
      </c>
      <c r="K96" s="7">
        <v>1252</v>
      </c>
      <c r="L96" s="7">
        <v>1252</v>
      </c>
      <c r="M96" s="7">
        <v>1252</v>
      </c>
      <c r="N96" s="7">
        <v>2245.15</v>
      </c>
    </row>
    <row r="97" spans="1:14" x14ac:dyDescent="0.75">
      <c r="A97" s="5" t="s">
        <v>63</v>
      </c>
      <c r="B97" s="5" t="s">
        <v>52</v>
      </c>
      <c r="C97" s="6">
        <v>60.59</v>
      </c>
      <c r="D97" s="6">
        <v>62.29</v>
      </c>
      <c r="E97" s="6">
        <v>64.599999999999994</v>
      </c>
      <c r="F97" s="6">
        <v>43.1</v>
      </c>
      <c r="G97" s="7">
        <v>250160.49217483</v>
      </c>
      <c r="H97" s="7">
        <v>257160.49217482901</v>
      </c>
      <c r="I97" s="7">
        <v>261377.63764300401</v>
      </c>
      <c r="J97" s="7">
        <v>170085.7</v>
      </c>
      <c r="K97" s="7">
        <v>12069.048500000001</v>
      </c>
      <c r="L97" s="7">
        <v>12069.048500000001</v>
      </c>
      <c r="M97" s="7">
        <v>12069.048500000001</v>
      </c>
      <c r="N97" s="7">
        <v>12234.35</v>
      </c>
    </row>
    <row r="98" spans="1:14" x14ac:dyDescent="0.75">
      <c r="A98" s="5" t="s">
        <v>63</v>
      </c>
      <c r="B98" s="5" t="s">
        <v>53</v>
      </c>
      <c r="C98" s="6">
        <v>53.716666666666697</v>
      </c>
      <c r="D98" s="6">
        <v>53.4166666666667</v>
      </c>
      <c r="E98" s="6">
        <v>49.516666666666701</v>
      </c>
      <c r="F98" s="6">
        <v>45.23</v>
      </c>
      <c r="G98" s="7">
        <v>368071.61833171698</v>
      </c>
      <c r="H98" s="7">
        <v>366071.61833171698</v>
      </c>
      <c r="I98" s="7">
        <v>336810.40300010802</v>
      </c>
      <c r="J98" s="7">
        <v>299281.08</v>
      </c>
      <c r="K98" s="7">
        <v>0</v>
      </c>
      <c r="L98" s="7">
        <v>0</v>
      </c>
      <c r="M98" s="7">
        <v>0</v>
      </c>
      <c r="N98" s="7">
        <v>0</v>
      </c>
    </row>
    <row r="99" spans="1:14" x14ac:dyDescent="0.75">
      <c r="A99" s="5" t="s">
        <v>63</v>
      </c>
      <c r="B99" s="5" t="s">
        <v>54</v>
      </c>
      <c r="C99" s="6">
        <v>449.989056805556</v>
      </c>
      <c r="D99" s="6">
        <v>456.953666666667</v>
      </c>
      <c r="E99" s="6">
        <v>447.41874013888901</v>
      </c>
      <c r="F99" s="6">
        <v>441.51240000000001</v>
      </c>
      <c r="G99" s="7">
        <v>2093644.6534110999</v>
      </c>
      <c r="H99" s="7">
        <v>2122323.0088351802</v>
      </c>
      <c r="I99" s="7">
        <v>2052550.8093914301</v>
      </c>
      <c r="J99" s="7">
        <v>1971287.26</v>
      </c>
      <c r="K99" s="7">
        <v>162693.394</v>
      </c>
      <c r="L99" s="7">
        <v>162693.394</v>
      </c>
      <c r="M99" s="7">
        <v>162693.394</v>
      </c>
      <c r="N99" s="7">
        <v>173304.87</v>
      </c>
    </row>
    <row r="100" spans="1:14" x14ac:dyDescent="0.75">
      <c r="A100" s="5" t="s">
        <v>63</v>
      </c>
      <c r="B100" s="5" t="s">
        <v>55</v>
      </c>
      <c r="C100" s="6">
        <v>29.982380952381</v>
      </c>
      <c r="D100" s="6">
        <v>29.982380952381</v>
      </c>
      <c r="E100" s="6">
        <v>29.382380952380998</v>
      </c>
      <c r="F100" s="6">
        <v>31.05</v>
      </c>
      <c r="G100" s="7">
        <v>337062.550965184</v>
      </c>
      <c r="H100" s="7">
        <v>337760.550965184</v>
      </c>
      <c r="I100" s="7">
        <v>369062.550965184</v>
      </c>
      <c r="J100" s="7">
        <v>361270.62</v>
      </c>
      <c r="K100" s="7">
        <v>0</v>
      </c>
      <c r="L100" s="7">
        <v>0</v>
      </c>
      <c r="M100" s="7">
        <v>0</v>
      </c>
      <c r="N100" s="7">
        <v>-10.07</v>
      </c>
    </row>
    <row r="101" spans="1:14" x14ac:dyDescent="0.75">
      <c r="A101" s="5" t="s">
        <v>63</v>
      </c>
      <c r="B101" s="5" t="s">
        <v>56</v>
      </c>
      <c r="C101" s="6">
        <v>24.523333333333301</v>
      </c>
      <c r="D101" s="6">
        <v>24.523333333333301</v>
      </c>
      <c r="E101" s="6">
        <v>24.523333333333301</v>
      </c>
      <c r="F101" s="6">
        <v>23.92</v>
      </c>
      <c r="G101" s="7">
        <v>196135.158075532</v>
      </c>
      <c r="H101" s="7">
        <v>196135.158075532</v>
      </c>
      <c r="I101" s="7">
        <v>203622.158075532</v>
      </c>
      <c r="J101" s="7">
        <v>199587.12</v>
      </c>
      <c r="K101" s="7">
        <v>0</v>
      </c>
      <c r="L101" s="7">
        <v>0</v>
      </c>
      <c r="M101" s="7">
        <v>0</v>
      </c>
      <c r="N101" s="7">
        <v>-0.1</v>
      </c>
    </row>
    <row r="102" spans="1:14" x14ac:dyDescent="0.75">
      <c r="A102" s="5" t="s">
        <v>63</v>
      </c>
      <c r="B102" s="5" t="s">
        <v>57</v>
      </c>
      <c r="C102" s="6">
        <v>0</v>
      </c>
      <c r="D102" s="6">
        <v>0</v>
      </c>
      <c r="E102" s="6">
        <v>0</v>
      </c>
      <c r="F102" s="6">
        <v>26.63</v>
      </c>
      <c r="G102" s="7">
        <v>0</v>
      </c>
      <c r="H102" s="7">
        <v>0</v>
      </c>
      <c r="I102" s="7">
        <v>0</v>
      </c>
      <c r="J102" s="7">
        <v>124278.42</v>
      </c>
      <c r="K102" s="7">
        <v>10445.282999999999</v>
      </c>
      <c r="L102" s="7">
        <v>10445.282999999999</v>
      </c>
      <c r="M102" s="7">
        <v>10445.282999999999</v>
      </c>
      <c r="N102" s="7">
        <v>20314.54</v>
      </c>
    </row>
    <row r="103" spans="1:14" x14ac:dyDescent="0.75">
      <c r="A103" s="5" t="s">
        <v>63</v>
      </c>
      <c r="B103" s="5" t="s">
        <v>58</v>
      </c>
      <c r="C103" s="6">
        <v>182.09059523809501</v>
      </c>
      <c r="D103" s="6">
        <v>182.09059523809501</v>
      </c>
      <c r="E103" s="6">
        <v>184.190595238095</v>
      </c>
      <c r="F103" s="6">
        <v>155.78</v>
      </c>
      <c r="G103" s="7">
        <v>1136975.6428854701</v>
      </c>
      <c r="H103" s="7">
        <v>1136975.6428854701</v>
      </c>
      <c r="I103" s="7">
        <v>1147522.6428854701</v>
      </c>
      <c r="J103" s="7">
        <v>936301.12</v>
      </c>
      <c r="K103" s="7">
        <v>0</v>
      </c>
      <c r="L103" s="7">
        <v>0</v>
      </c>
      <c r="M103" s="7">
        <v>0</v>
      </c>
      <c r="N103" s="7">
        <v>0</v>
      </c>
    </row>
    <row r="104" spans="1:14" x14ac:dyDescent="0.75">
      <c r="A104" s="5" t="s">
        <v>63</v>
      </c>
      <c r="B104" s="5" t="s">
        <v>59</v>
      </c>
      <c r="C104" s="6">
        <v>0</v>
      </c>
      <c r="D104" s="6">
        <v>0</v>
      </c>
      <c r="E104" s="6">
        <v>0</v>
      </c>
      <c r="F104" s="6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</row>
    <row r="105" spans="1:14" x14ac:dyDescent="0.75">
      <c r="A105" s="5" t="s">
        <v>63</v>
      </c>
      <c r="B105" s="5" t="s">
        <v>60</v>
      </c>
      <c r="C105" s="6">
        <v>0</v>
      </c>
      <c r="D105" s="6">
        <v>0</v>
      </c>
      <c r="E105" s="6">
        <v>0</v>
      </c>
      <c r="F105" s="6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</row>
    <row r="107" spans="1:14" x14ac:dyDescent="0.75">
      <c r="A107" s="8" t="s">
        <v>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="72" zoomScaleNormal="100" workbookViewId="0">
      <selection activeCell="A7" sqref="A7:XFD8"/>
    </sheetView>
  </sheetViews>
  <sheetFormatPr defaultColWidth="8.6796875" defaultRowHeight="14.75" x14ac:dyDescent="0.75"/>
  <cols>
    <col min="1" max="1" width="12" customWidth="1"/>
    <col min="2" max="5" width="20" customWidth="1"/>
  </cols>
  <sheetData>
    <row r="1" spans="1:5" ht="39.75" customHeight="1" x14ac:dyDescent="0.75">
      <c r="A1" s="4" t="s">
        <v>20</v>
      </c>
      <c r="B1" s="4" t="s">
        <v>65</v>
      </c>
      <c r="C1" s="4" t="s">
        <v>66</v>
      </c>
      <c r="D1" s="4" t="s">
        <v>67</v>
      </c>
      <c r="E1" s="4" t="s">
        <v>68</v>
      </c>
    </row>
    <row r="2" spans="1:5" x14ac:dyDescent="0.75">
      <c r="A2" s="5" t="s">
        <v>34</v>
      </c>
      <c r="B2" s="9">
        <v>366934</v>
      </c>
      <c r="C2" s="9">
        <v>425982.46569721901</v>
      </c>
      <c r="D2" s="9">
        <v>425982.46569721901</v>
      </c>
      <c r="E2" s="9">
        <v>402999</v>
      </c>
    </row>
    <row r="3" spans="1:5" x14ac:dyDescent="0.75">
      <c r="A3" s="5" t="s">
        <v>61</v>
      </c>
      <c r="B3" s="9">
        <v>550595</v>
      </c>
      <c r="C3" s="9">
        <v>599083.30000000005</v>
      </c>
      <c r="D3" s="9">
        <v>599083.30000000005</v>
      </c>
      <c r="E3" s="9">
        <v>593382</v>
      </c>
    </row>
    <row r="4" spans="1:5" x14ac:dyDescent="0.75">
      <c r="A4" s="5" t="s">
        <v>62</v>
      </c>
      <c r="B4" s="9">
        <v>539902</v>
      </c>
      <c r="C4" s="9">
        <v>625480.94542614697</v>
      </c>
      <c r="D4" s="9">
        <v>625480.94542614697</v>
      </c>
      <c r="E4" s="9">
        <v>602273</v>
      </c>
    </row>
    <row r="5" spans="1:5" x14ac:dyDescent="0.75">
      <c r="A5" s="5" t="s">
        <v>63</v>
      </c>
      <c r="B5" s="9">
        <v>566690</v>
      </c>
      <c r="C5" s="9">
        <v>629076.37625043199</v>
      </c>
      <c r="D5" s="9">
        <v>629076.37625043199</v>
      </c>
      <c r="E5" s="9">
        <v>606371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Notes</vt:lpstr>
      <vt:lpstr>Location Summary</vt:lpstr>
      <vt:lpstr>Efficiency Metrics</vt:lpstr>
      <vt:lpstr>Top Movers</vt:lpstr>
      <vt:lpstr>Variance Analysis</vt:lpstr>
      <vt:lpstr>Raw - Workforce</vt:lpstr>
      <vt:lpstr>Raw -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Steven Alvarez</cp:lastModifiedBy>
  <cp:revision>0</cp:revision>
  <dcterms:created xsi:type="dcterms:W3CDTF">2026-07-12T04:57:13Z</dcterms:created>
  <dcterms:modified xsi:type="dcterms:W3CDTF">2026-07-14T02:56:48Z</dcterms:modified>
  <dc:language>en-US</dc:language>
</cp:coreProperties>
</file>