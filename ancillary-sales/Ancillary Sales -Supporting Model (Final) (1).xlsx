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tevenitzz\Downloads\"/>
    </mc:Choice>
  </mc:AlternateContent>
  <xr:revisionPtr revIDLastSave="0" documentId="8_{648E5F0D-AC21-4580-9B39-F0F542EEAF9F}" xr6:coauthVersionLast="47" xr6:coauthVersionMax="47" xr10:uidLastSave="{00000000-0000-0000-0000-000000000000}"/>
  <bookViews>
    <workbookView xWindow="-90" yWindow="-90" windowWidth="19380" windowHeight="10980" firstSheet="1" activeTab="3" xr2:uid="{13502CD5-D5A7-4F62-B2B5-7297046DE5DE}"/>
  </bookViews>
  <sheets>
    <sheet name="Assumptions" sheetId="9" r:id="rId1"/>
    <sheet name="Opportunity Ranking" sheetId="8" r:id="rId2"/>
    <sheet name="Benchmark Comparison" sheetId="6" r:id="rId3"/>
    <sheet name="Revenue Scenario" sheetId="7" r:id="rId4"/>
    <sheet name="RAW DATA" sheetId="1" r:id="rId5"/>
  </sheets>
  <definedNames>
    <definedName name="_xlnm._FilterDatabase" localSheetId="4" hidden="1">'RAW DATA'!$A$2:$AG$295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7" l="1"/>
  <c r="E16" i="7"/>
  <c r="E17" i="7"/>
  <c r="F17" i="7" s="1"/>
  <c r="F16" i="7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</calcChain>
</file>

<file path=xl/sharedStrings.xml><?xml version="1.0" encoding="utf-8"?>
<sst xmlns="http://schemas.openxmlformats.org/spreadsheetml/2006/main" count="444" uniqueCount="377">
  <si>
    <t>Checkout Location Code</t>
  </si>
  <si>
    <t>% of Avis Transactions</t>
  </si>
  <si>
    <t xml:space="preserve">% of Budget Transactions </t>
  </si>
  <si>
    <t xml:space="preserve">% of Payless Transactions </t>
  </si>
  <si>
    <t>Domestic Transactions</t>
  </si>
  <si>
    <t>Inbound Transactions</t>
  </si>
  <si>
    <t>Commercial Transactions</t>
  </si>
  <si>
    <t>Leisure Transactions</t>
  </si>
  <si>
    <t>% CORE</t>
  </si>
  <si>
    <t>% EV</t>
  </si>
  <si>
    <t>% PICKUP</t>
  </si>
  <si>
    <t>% SPECIALTY</t>
  </si>
  <si>
    <t>% SUV</t>
  </si>
  <si>
    <t>% VAN</t>
  </si>
  <si>
    <t>Grand Total</t>
  </si>
  <si>
    <t>Number of Rentals</t>
  </si>
  <si>
    <t>Brand</t>
  </si>
  <si>
    <t>Origin</t>
  </si>
  <si>
    <t>Customer Segment</t>
  </si>
  <si>
    <t>Car Type</t>
  </si>
  <si>
    <t>Counter Bypass %</t>
  </si>
  <si>
    <t>Walkup/No Reservation %</t>
  </si>
  <si>
    <t>Length of Rental (in Days)</t>
  </si>
  <si>
    <t>Product 1 Revenue</t>
  </si>
  <si>
    <t>Product 1 Penetration</t>
  </si>
  <si>
    <t>Product 1 Rate per Sold Day</t>
  </si>
  <si>
    <t>Product 2 Revenue</t>
  </si>
  <si>
    <t>Product 2 Penetration</t>
  </si>
  <si>
    <t>Product 2 Rate per Sold Day</t>
  </si>
  <si>
    <t>Product 3 Revenue</t>
  </si>
  <si>
    <t>Product 3 Penetration</t>
  </si>
  <si>
    <t>Product 3 Rate per Sold Day</t>
  </si>
  <si>
    <t>Product 4 Revenue</t>
  </si>
  <si>
    <t>Product 4 Penetration</t>
  </si>
  <si>
    <t>Product 4 Rate per Sold Day</t>
  </si>
  <si>
    <t>Product 5 Revenue</t>
  </si>
  <si>
    <t>Product 5 Penetration</t>
  </si>
  <si>
    <t>Product 5 Rate per Sold Day</t>
  </si>
  <si>
    <t>Counter Sales/Ancillary Sales Data</t>
  </si>
  <si>
    <t>Location 1</t>
  </si>
  <si>
    <t>Location 2</t>
  </si>
  <si>
    <t>Location 3</t>
  </si>
  <si>
    <t>Location 4</t>
  </si>
  <si>
    <t>Location 5</t>
  </si>
  <si>
    <t>Location 6</t>
  </si>
  <si>
    <t>Location 7</t>
  </si>
  <si>
    <t>Location 8</t>
  </si>
  <si>
    <t>Location 9</t>
  </si>
  <si>
    <t>Location 10</t>
  </si>
  <si>
    <t>Location 11</t>
  </si>
  <si>
    <t>Location 12</t>
  </si>
  <si>
    <t>Location 13</t>
  </si>
  <si>
    <t>Location 14</t>
  </si>
  <si>
    <t>Location 15</t>
  </si>
  <si>
    <t>Location 16</t>
  </si>
  <si>
    <t>Location 17</t>
  </si>
  <si>
    <t>Location 18</t>
  </si>
  <si>
    <t>Location 19</t>
  </si>
  <si>
    <t>Location 20</t>
  </si>
  <si>
    <t>Location 21</t>
  </si>
  <si>
    <t>Location 22</t>
  </si>
  <si>
    <t>Location 23</t>
  </si>
  <si>
    <t>Location 24</t>
  </si>
  <si>
    <t>Location 25</t>
  </si>
  <si>
    <t>Location 26</t>
  </si>
  <si>
    <t>Location 27</t>
  </si>
  <si>
    <t>Location 28</t>
  </si>
  <si>
    <t>Location 29</t>
  </si>
  <si>
    <t>Location 30</t>
  </si>
  <si>
    <t>Location 31</t>
  </si>
  <si>
    <t>Location 32</t>
  </si>
  <si>
    <t>Location 33</t>
  </si>
  <si>
    <t>Location 34</t>
  </si>
  <si>
    <t>Location 35</t>
  </si>
  <si>
    <t>Location 36</t>
  </si>
  <si>
    <t>Location 37</t>
  </si>
  <si>
    <t>Location 38</t>
  </si>
  <si>
    <t>Location 39</t>
  </si>
  <si>
    <t>Location 40</t>
  </si>
  <si>
    <t>Location 41</t>
  </si>
  <si>
    <t>Location 42</t>
  </si>
  <si>
    <t>Location 43</t>
  </si>
  <si>
    <t>Location 44</t>
  </si>
  <si>
    <t>Location 45</t>
  </si>
  <si>
    <t>Location 46</t>
  </si>
  <si>
    <t>Location 47</t>
  </si>
  <si>
    <t>Location 48</t>
  </si>
  <si>
    <t>Location 49</t>
  </si>
  <si>
    <t>Location 50</t>
  </si>
  <si>
    <t>Location 51</t>
  </si>
  <si>
    <t>Location 52</t>
  </si>
  <si>
    <t>Location 53</t>
  </si>
  <si>
    <t>Location 54</t>
  </si>
  <si>
    <t>Location 55</t>
  </si>
  <si>
    <t>Location 56</t>
  </si>
  <si>
    <t>Location 57</t>
  </si>
  <si>
    <t>Location 58</t>
  </si>
  <si>
    <t>Location 59</t>
  </si>
  <si>
    <t>Location 60</t>
  </si>
  <si>
    <t>Location 61</t>
  </si>
  <si>
    <t>Location 62</t>
  </si>
  <si>
    <t>Location 63</t>
  </si>
  <si>
    <t>Location 64</t>
  </si>
  <si>
    <t>Location 65</t>
  </si>
  <si>
    <t>Location 66</t>
  </si>
  <si>
    <t>Location 67</t>
  </si>
  <si>
    <t>Location 68</t>
  </si>
  <si>
    <t>Location 69</t>
  </si>
  <si>
    <t>Location 70</t>
  </si>
  <si>
    <t>Location 71</t>
  </si>
  <si>
    <t>Location 72</t>
  </si>
  <si>
    <t>Location 73</t>
  </si>
  <si>
    <t>Location 74</t>
  </si>
  <si>
    <t>Location 75</t>
  </si>
  <si>
    <t>Location 76</t>
  </si>
  <si>
    <t>Location 77</t>
  </si>
  <si>
    <t>Location 78</t>
  </si>
  <si>
    <t>Location 79</t>
  </si>
  <si>
    <t>Location 80</t>
  </si>
  <si>
    <t>Location 81</t>
  </si>
  <si>
    <t>Location 82</t>
  </si>
  <si>
    <t>Location 83</t>
  </si>
  <si>
    <t>Location 84</t>
  </si>
  <si>
    <t>Location 85</t>
  </si>
  <si>
    <t>Location 86</t>
  </si>
  <si>
    <t>Location 87</t>
  </si>
  <si>
    <t>Location 88</t>
  </si>
  <si>
    <t>Location 89</t>
  </si>
  <si>
    <t>Location 90</t>
  </si>
  <si>
    <t>Location 91</t>
  </si>
  <si>
    <t>Location 92</t>
  </si>
  <si>
    <t>Location 93</t>
  </si>
  <si>
    <t>Location 94</t>
  </si>
  <si>
    <t>Location 95</t>
  </si>
  <si>
    <t>Location 96</t>
  </si>
  <si>
    <t>Location 97</t>
  </si>
  <si>
    <t>Location 98</t>
  </si>
  <si>
    <t>Location 99</t>
  </si>
  <si>
    <t>Location 100</t>
  </si>
  <si>
    <t>Location 101</t>
  </si>
  <si>
    <t>Location 102</t>
  </si>
  <si>
    <t>Location 103</t>
  </si>
  <si>
    <t>Location 104</t>
  </si>
  <si>
    <t>Location 105</t>
  </si>
  <si>
    <t>Location 106</t>
  </si>
  <si>
    <t>Location 107</t>
  </si>
  <si>
    <t>Location 108</t>
  </si>
  <si>
    <t>Location 109</t>
  </si>
  <si>
    <t>Location 110</t>
  </si>
  <si>
    <t>Location 111</t>
  </si>
  <si>
    <t>Location 112</t>
  </si>
  <si>
    <t>Location 113</t>
  </si>
  <si>
    <t>Location 114</t>
  </si>
  <si>
    <t>Location 115</t>
  </si>
  <si>
    <t>Location 116</t>
  </si>
  <si>
    <t>Location 117</t>
  </si>
  <si>
    <t>Location 118</t>
  </si>
  <si>
    <t>Location 119</t>
  </si>
  <si>
    <t>Location 120</t>
  </si>
  <si>
    <t>Location 121</t>
  </si>
  <si>
    <t>Location 122</t>
  </si>
  <si>
    <t>Location 123</t>
  </si>
  <si>
    <t>Location 124</t>
  </si>
  <si>
    <t>Location 125</t>
  </si>
  <si>
    <t>Location 126</t>
  </si>
  <si>
    <t>Location 127</t>
  </si>
  <si>
    <t>Location 128</t>
  </si>
  <si>
    <t>Location 129</t>
  </si>
  <si>
    <t>Location 130</t>
  </si>
  <si>
    <t>Location 131</t>
  </si>
  <si>
    <t>Location 132</t>
  </si>
  <si>
    <t>Location 133</t>
  </si>
  <si>
    <t>Location 134</t>
  </si>
  <si>
    <t>Location 135</t>
  </si>
  <si>
    <t>Location 136</t>
  </si>
  <si>
    <t>Location 137</t>
  </si>
  <si>
    <t>Location 138</t>
  </si>
  <si>
    <t>Location 139</t>
  </si>
  <si>
    <t>Location 140</t>
  </si>
  <si>
    <t>Location 141</t>
  </si>
  <si>
    <t>Location 142</t>
  </si>
  <si>
    <t>Location 143</t>
  </si>
  <si>
    <t>Location 144</t>
  </si>
  <si>
    <t>Location 145</t>
  </si>
  <si>
    <t>Location 146</t>
  </si>
  <si>
    <t>Location 147</t>
  </si>
  <si>
    <t>Location 148</t>
  </si>
  <si>
    <t>Location 149</t>
  </si>
  <si>
    <t>Location 150</t>
  </si>
  <si>
    <t>Location 151</t>
  </si>
  <si>
    <t>Location 152</t>
  </si>
  <si>
    <t>Location 153</t>
  </si>
  <si>
    <t>Location 154</t>
  </si>
  <si>
    <t>Location 155</t>
  </si>
  <si>
    <t>Location 156</t>
  </si>
  <si>
    <t>Location 157</t>
  </si>
  <si>
    <t>Location 158</t>
  </si>
  <si>
    <t>Location 159</t>
  </si>
  <si>
    <t>Location 160</t>
  </si>
  <si>
    <t>Location 161</t>
  </si>
  <si>
    <t>Location 162</t>
  </si>
  <si>
    <t>Location 163</t>
  </si>
  <si>
    <t>Location 164</t>
  </si>
  <si>
    <t>Location 165</t>
  </si>
  <si>
    <t>Location 166</t>
  </si>
  <si>
    <t>Location 167</t>
  </si>
  <si>
    <t>Location 168</t>
  </si>
  <si>
    <t>Location 169</t>
  </si>
  <si>
    <t>Location 170</t>
  </si>
  <si>
    <t>Location 171</t>
  </si>
  <si>
    <t>Location 172</t>
  </si>
  <si>
    <t>Location 173</t>
  </si>
  <si>
    <t>Location 174</t>
  </si>
  <si>
    <t>Location 175</t>
  </si>
  <si>
    <t>Location 176</t>
  </si>
  <si>
    <t>Location 177</t>
  </si>
  <si>
    <t>Location 178</t>
  </si>
  <si>
    <t>Location 179</t>
  </si>
  <si>
    <t>Location 180</t>
  </si>
  <si>
    <t>Location 181</t>
  </si>
  <si>
    <t>Location 182</t>
  </si>
  <si>
    <t>Location 183</t>
  </si>
  <si>
    <t>Location 184</t>
  </si>
  <si>
    <t>Location 185</t>
  </si>
  <si>
    <t>Location 186</t>
  </si>
  <si>
    <t>Location 187</t>
  </si>
  <si>
    <t>Location 188</t>
  </si>
  <si>
    <t>Location 189</t>
  </si>
  <si>
    <t>Location 190</t>
  </si>
  <si>
    <t>Location 191</t>
  </si>
  <si>
    <t>Location 192</t>
  </si>
  <si>
    <t>Location 193</t>
  </si>
  <si>
    <t>Location 194</t>
  </si>
  <si>
    <t>Location 195</t>
  </si>
  <si>
    <t>Location 196</t>
  </si>
  <si>
    <t>Location 197</t>
  </si>
  <si>
    <t>Location 198</t>
  </si>
  <si>
    <t>Location 199</t>
  </si>
  <si>
    <t>Location 200</t>
  </si>
  <si>
    <t>Location 201</t>
  </si>
  <si>
    <t>Location 202</t>
  </si>
  <si>
    <t>Location 203</t>
  </si>
  <si>
    <t>Location 204</t>
  </si>
  <si>
    <t>Location 205</t>
  </si>
  <si>
    <t>Location 206</t>
  </si>
  <si>
    <t>Location 207</t>
  </si>
  <si>
    <t>Location 208</t>
  </si>
  <si>
    <t>Location 209</t>
  </si>
  <si>
    <t>Location 210</t>
  </si>
  <si>
    <t>Location 211</t>
  </si>
  <si>
    <t>Location 212</t>
  </si>
  <si>
    <t>Location 213</t>
  </si>
  <si>
    <t>Location 214</t>
  </si>
  <si>
    <t>Location 215</t>
  </si>
  <si>
    <t>Location 216</t>
  </si>
  <si>
    <t>Location 217</t>
  </si>
  <si>
    <t>Location 218</t>
  </si>
  <si>
    <t>Location 219</t>
  </si>
  <si>
    <t>Location 220</t>
  </si>
  <si>
    <t>Location 221</t>
  </si>
  <si>
    <t>Location 222</t>
  </si>
  <si>
    <t>Location 223</t>
  </si>
  <si>
    <t>Location 224</t>
  </si>
  <si>
    <t>Location 225</t>
  </si>
  <si>
    <t>Location 226</t>
  </si>
  <si>
    <t>Location 227</t>
  </si>
  <si>
    <t>Location 228</t>
  </si>
  <si>
    <t>Location 229</t>
  </si>
  <si>
    <t>Location 230</t>
  </si>
  <si>
    <t>Location 231</t>
  </si>
  <si>
    <t>Location 232</t>
  </si>
  <si>
    <t>Location 233</t>
  </si>
  <si>
    <t>Location 234</t>
  </si>
  <si>
    <t>Location 235</t>
  </si>
  <si>
    <t>Location 236</t>
  </si>
  <si>
    <t>Location 237</t>
  </si>
  <si>
    <t>Location 238</t>
  </si>
  <si>
    <t>Location 239</t>
  </si>
  <si>
    <t>Location 240</t>
  </si>
  <si>
    <t>Location 241</t>
  </si>
  <si>
    <t>Location 242</t>
  </si>
  <si>
    <t>Location 243</t>
  </si>
  <si>
    <t>Location 244</t>
  </si>
  <si>
    <t>Location 245</t>
  </si>
  <si>
    <t>Location 246</t>
  </si>
  <si>
    <t>Location 247</t>
  </si>
  <si>
    <t>Location 248</t>
  </si>
  <si>
    <t>Location 249</t>
  </si>
  <si>
    <t>Location 250</t>
  </si>
  <si>
    <t>Location 251</t>
  </si>
  <si>
    <t>Location 252</t>
  </si>
  <si>
    <t>Location 253</t>
  </si>
  <si>
    <t>Location 254</t>
  </si>
  <si>
    <t>Location 255</t>
  </si>
  <si>
    <t>Location 256</t>
  </si>
  <si>
    <t>Location 257</t>
  </si>
  <si>
    <t>Location 258</t>
  </si>
  <si>
    <t>Location 259</t>
  </si>
  <si>
    <t>Location 260</t>
  </si>
  <si>
    <t>Location 261</t>
  </si>
  <si>
    <t>Location 262</t>
  </si>
  <si>
    <t>Location 263</t>
  </si>
  <si>
    <t>Location 264</t>
  </si>
  <si>
    <t>Location 265</t>
  </si>
  <si>
    <t>Location 266</t>
  </si>
  <si>
    <t>Location 267</t>
  </si>
  <si>
    <t>Location 268</t>
  </si>
  <si>
    <t>Location 269</t>
  </si>
  <si>
    <t>Location 270</t>
  </si>
  <si>
    <t>Location 271</t>
  </si>
  <si>
    <t>Location 272</t>
  </si>
  <si>
    <t>Location 273</t>
  </si>
  <si>
    <t>Location 274</t>
  </si>
  <si>
    <t>Location 275</t>
  </si>
  <si>
    <t>Location 276</t>
  </si>
  <si>
    <t>Location 277</t>
  </si>
  <si>
    <t>Location 278</t>
  </si>
  <si>
    <t>Location 279</t>
  </si>
  <si>
    <t>Location 280</t>
  </si>
  <si>
    <t>Location 281</t>
  </si>
  <si>
    <t>Location 282</t>
  </si>
  <si>
    <t>Location 283</t>
  </si>
  <si>
    <t>Location 284</t>
  </si>
  <si>
    <t>Location 285</t>
  </si>
  <si>
    <t>Location 286</t>
  </si>
  <si>
    <t>Location 287</t>
  </si>
  <si>
    <t>Location 288</t>
  </si>
  <si>
    <t>Location 289</t>
  </si>
  <si>
    <t>Location 290</t>
  </si>
  <si>
    <t>Location 291</t>
  </si>
  <si>
    <t>Location 292</t>
  </si>
  <si>
    <t>P1</t>
  </si>
  <si>
    <t>P2</t>
  </si>
  <si>
    <t>P3</t>
  </si>
  <si>
    <t>P4</t>
  </si>
  <si>
    <t>P5</t>
  </si>
  <si>
    <t>Median Prodcut Gap (percentage points)</t>
  </si>
  <si>
    <t>Mean Product Gap (percentage points)</t>
  </si>
  <si>
    <t>Product 4 Pentration</t>
  </si>
  <si>
    <t>Checkout Loc.</t>
  </si>
  <si>
    <t>Rank</t>
  </si>
  <si>
    <t xml:space="preserve">Outputs were generated using R </t>
  </si>
  <si>
    <t>Location</t>
  </si>
  <si>
    <t>Similar tables were constructed for all 5 penetrations for high and low percentages</t>
  </si>
  <si>
    <t># of  Appearences</t>
  </si>
  <si>
    <t>Top/Bottom 10 rankings shown for Product 4.</t>
  </si>
  <si>
    <t>Recurring Locations Across All Products</t>
  </si>
  <si>
    <t xml:space="preserve">Recurring Location Frequency summarizes appearances across all five ancillary products </t>
  </si>
  <si>
    <t>P4 Penetration</t>
  </si>
  <si>
    <t>Actual Revenue</t>
  </si>
  <si>
    <t>Projected Revenue</t>
  </si>
  <si>
    <t>Incremental Revenue</t>
  </si>
  <si>
    <t>Current</t>
  </si>
  <si>
    <t>—</t>
  </si>
  <si>
    <t>5.50%</t>
  </si>
  <si>
    <t>10.50%</t>
  </si>
  <si>
    <t>10 pp (moderate)</t>
  </si>
  <si>
    <t xml:space="preserve">Scenario  </t>
  </si>
  <si>
    <t>Assumption</t>
  </si>
  <si>
    <t>Rationale</t>
  </si>
  <si>
    <t>Focused on Product 4</t>
  </si>
  <si>
    <t>Largest median attachment gap</t>
  </si>
  <si>
    <t>+5 pp and +10 pp scenarios</t>
  </si>
  <si>
    <t>Conservative improvement below benchmark</t>
  </si>
  <si>
    <t>Scenario analysis</t>
  </si>
  <si>
    <t>Illustrative, not predictive</t>
  </si>
  <si>
    <t>Product 4 (Low Penetration)</t>
  </si>
  <si>
    <t>Product 4 (HIgh Penetration)</t>
  </si>
  <si>
    <t>My Product 4 Revenue</t>
  </si>
  <si>
    <t>Low Performer</t>
  </si>
  <si>
    <t>High Performers</t>
  </si>
  <si>
    <t>High- Low Performers</t>
  </si>
  <si>
    <t>Bottom 5% of rental volume removed                                                 ( Final Sample =263 Locations)</t>
  </si>
  <si>
    <t>Reduce noise from very small locations</t>
  </si>
  <si>
    <t>My Approach</t>
  </si>
  <si>
    <t>Key Differences Between High and Low Performing Locations</t>
  </si>
  <si>
    <t>5 pp (conservative)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</si>
</sst>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6" formatCode="_(* #,##0_);_(* \(#,##0\);_(* &quot;-&quot;??_);_(@_)"/>
    <numFmt numFmtId="170" formatCode="0.000"/>
    <numFmt numFmtId="175" formatCode="&quot;$&quot;#,##0.00"/>
    <numFmt numFmtId="176" formatCode="0.0000%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1E2761"/>
      <name val="Arial"/>
      <family val="2"/>
    </font>
    <font>
      <b/>
      <sz val="10.5"/>
      <color rgb="FF000000"/>
      <name val="Aptos Narrow"/>
      <family val="2"/>
      <scheme val="minor"/>
    </font>
    <font>
      <b/>
      <sz val="11"/>
      <name val="Arial"/>
      <family val="2"/>
    </font>
    <font>
      <b/>
      <sz val="16"/>
      <color rgb="FF1E276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indexed="64"/>
      </right>
      <top style="thin">
        <color theme="3"/>
      </top>
      <bottom style="thin">
        <color indexed="64"/>
      </bottom>
      <diagonal/>
    </border>
    <border>
      <left/>
      <right style="thin">
        <color auto="1"/>
      </right>
      <top style="thin">
        <color theme="3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theme="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3"/>
      </right>
      <top/>
      <bottom/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indexed="64"/>
      </right>
      <top style="thin">
        <color indexed="64"/>
      </top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 style="thin">
        <color theme="0"/>
      </top>
      <bottom style="thin">
        <color theme="0"/>
      </bottom>
      <diagonal/>
    </border>
    <border>
      <left/>
      <right style="thin">
        <color theme="3"/>
      </right>
      <top style="thin">
        <color theme="0"/>
      </top>
      <bottom style="thin">
        <color theme="0"/>
      </bottom>
      <diagonal/>
    </border>
    <border>
      <left style="thin">
        <color theme="3"/>
      </left>
      <right/>
      <top style="thin">
        <color theme="0"/>
      </top>
      <bottom/>
      <diagonal/>
    </border>
    <border>
      <left/>
      <right style="thin">
        <color theme="3"/>
      </right>
      <top style="thin">
        <color theme="0"/>
      </top>
      <bottom/>
      <diagonal/>
    </border>
    <border>
      <left style="thin">
        <color theme="3"/>
      </left>
      <right/>
      <top style="thin">
        <color theme="0"/>
      </top>
      <bottom style="thin">
        <color theme="3"/>
      </bottom>
      <diagonal/>
    </border>
    <border>
      <left/>
      <right/>
      <top style="thin">
        <color theme="0"/>
      </top>
      <bottom style="thin">
        <color theme="3"/>
      </bottom>
      <diagonal/>
    </border>
    <border>
      <left/>
      <right style="thin">
        <color theme="3"/>
      </right>
      <top style="thin">
        <color theme="0"/>
      </top>
      <bottom style="thin">
        <color theme="3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  <xf numFmtId="0" fontId="0" fillId="0" borderId="4" xfId="0" applyBorder="1"/>
    <xf numFmtId="0" fontId="1" fillId="0" borderId="0" xfId="0" applyFont="1"/>
    <xf numFmtId="10" fontId="0" fillId="0" borderId="0" xfId="2" applyNumberFormat="1" applyFont="1"/>
    <xf numFmtId="166" fontId="0" fillId="0" borderId="4" xfId="1" applyNumberFormat="1" applyFont="1" applyBorder="1"/>
    <xf numFmtId="43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right"/>
    </xf>
    <xf numFmtId="0" fontId="0" fillId="0" borderId="0" xfId="0" applyFill="1"/>
    <xf numFmtId="0" fontId="1" fillId="3" borderId="0" xfId="0" applyFont="1" applyFill="1"/>
    <xf numFmtId="0" fontId="1" fillId="3" borderId="4" xfId="0" applyFont="1" applyFill="1" applyBorder="1"/>
    <xf numFmtId="0" fontId="0" fillId="0" borderId="5" xfId="0" applyBorder="1"/>
    <xf numFmtId="0" fontId="1" fillId="0" borderId="7" xfId="0" applyFont="1" applyBorder="1" applyAlignment="1"/>
    <xf numFmtId="0" fontId="1" fillId="0" borderId="6" xfId="0" applyFont="1" applyBorder="1" applyAlignme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0" fillId="0" borderId="8" xfId="0" applyBorder="1" applyAlignment="1">
      <alignment vertical="center" wrapText="1"/>
    </xf>
    <xf numFmtId="10" fontId="0" fillId="0" borderId="8" xfId="0" applyNumberFormat="1" applyBorder="1" applyAlignment="1">
      <alignment horizontal="right" vertical="center" wrapText="1"/>
    </xf>
    <xf numFmtId="6" fontId="0" fillId="0" borderId="8" xfId="0" applyNumberFormat="1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6" fillId="0" borderId="0" xfId="0" applyFont="1"/>
    <xf numFmtId="176" fontId="0" fillId="0" borderId="0" xfId="0" applyNumberFormat="1"/>
    <xf numFmtId="170" fontId="0" fillId="0" borderId="16" xfId="0" applyNumberFormat="1" applyBorder="1"/>
    <xf numFmtId="170" fontId="0" fillId="0" borderId="14" xfId="0" applyNumberFormat="1" applyBorder="1"/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right" vertical="center" wrapText="1"/>
    </xf>
    <xf numFmtId="0" fontId="1" fillId="0" borderId="21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0" fillId="0" borderId="14" xfId="0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2" xfId="0" applyBorder="1" applyAlignment="1">
      <alignment horizontal="right" vertical="center" wrapText="1"/>
    </xf>
    <xf numFmtId="6" fontId="0" fillId="0" borderId="22" xfId="0" applyNumberFormat="1" applyBorder="1" applyAlignment="1">
      <alignment horizontal="right" vertical="center" wrapText="1"/>
    </xf>
    <xf numFmtId="0" fontId="0" fillId="0" borderId="1" xfId="0" applyBorder="1"/>
    <xf numFmtId="43" fontId="0" fillId="0" borderId="18" xfId="0" applyNumberFormat="1" applyBorder="1"/>
    <xf numFmtId="0" fontId="1" fillId="4" borderId="4" xfId="0" applyFont="1" applyFill="1" applyBorder="1" applyAlignment="1">
      <alignment horizontal="left"/>
    </xf>
    <xf numFmtId="0" fontId="0" fillId="0" borderId="18" xfId="0" applyBorder="1"/>
    <xf numFmtId="0" fontId="7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0" fillId="4" borderId="28" xfId="0" applyFont="1" applyFill="1" applyBorder="1" applyAlignment="1">
      <alignment horizontal="left"/>
    </xf>
    <xf numFmtId="10" fontId="11" fillId="0" borderId="0" xfId="2" applyNumberFormat="1" applyFont="1" applyBorder="1"/>
    <xf numFmtId="10" fontId="10" fillId="3" borderId="0" xfId="2" applyNumberFormat="1" applyFont="1" applyFill="1" applyBorder="1"/>
    <xf numFmtId="10" fontId="11" fillId="0" borderId="29" xfId="2" applyNumberFormat="1" applyFont="1" applyBorder="1"/>
    <xf numFmtId="0" fontId="10" fillId="4" borderId="32" xfId="0" applyFont="1" applyFill="1" applyBorder="1" applyAlignment="1">
      <alignment horizontal="left"/>
    </xf>
    <xf numFmtId="10" fontId="11" fillId="0" borderId="30" xfId="2" applyNumberFormat="1" applyFont="1" applyBorder="1"/>
    <xf numFmtId="10" fontId="10" fillId="3" borderId="30" xfId="2" applyNumberFormat="1" applyFont="1" applyFill="1" applyBorder="1"/>
    <xf numFmtId="10" fontId="11" fillId="0" borderId="31" xfId="2" applyNumberFormat="1" applyFont="1" applyBorder="1"/>
    <xf numFmtId="0" fontId="10" fillId="0" borderId="0" xfId="0" applyFont="1" applyFill="1" applyBorder="1" applyAlignment="1">
      <alignment horizontal="left"/>
    </xf>
    <xf numFmtId="10" fontId="11" fillId="0" borderId="0" xfId="2" applyNumberFormat="1" applyFont="1" applyFill="1"/>
    <xf numFmtId="10" fontId="10" fillId="4" borderId="0" xfId="2" applyNumberFormat="1" applyFont="1" applyFill="1"/>
    <xf numFmtId="0" fontId="10" fillId="4" borderId="18" xfId="0" applyFont="1" applyFill="1" applyBorder="1" applyAlignment="1">
      <alignment horizontal="left"/>
    </xf>
    <xf numFmtId="0" fontId="10" fillId="4" borderId="4" xfId="0" applyFont="1" applyFill="1" applyBorder="1"/>
    <xf numFmtId="166" fontId="11" fillId="0" borderId="4" xfId="1" applyNumberFormat="1" applyFont="1" applyBorder="1"/>
    <xf numFmtId="0" fontId="11" fillId="0" borderId="4" xfId="0" applyFont="1" applyBorder="1"/>
    <xf numFmtId="10" fontId="11" fillId="0" borderId="4" xfId="2" applyNumberFormat="1" applyFont="1" applyBorder="1"/>
    <xf numFmtId="0" fontId="11" fillId="0" borderId="0" xfId="0" applyFont="1"/>
    <xf numFmtId="166" fontId="11" fillId="0" borderId="0" xfId="1" applyNumberFormat="1" applyFont="1"/>
    <xf numFmtId="10" fontId="11" fillId="0" borderId="0" xfId="2" applyNumberFormat="1" applyFont="1"/>
    <xf numFmtId="0" fontId="1" fillId="0" borderId="35" xfId="0" applyFont="1" applyBorder="1" applyAlignment="1"/>
    <xf numFmtId="0" fontId="1" fillId="0" borderId="33" xfId="0" applyFont="1" applyBorder="1" applyAlignment="1"/>
    <xf numFmtId="0" fontId="1" fillId="0" borderId="34" xfId="0" applyFont="1" applyBorder="1" applyAlignment="1"/>
    <xf numFmtId="0" fontId="1" fillId="0" borderId="36" xfId="0" applyFont="1" applyBorder="1" applyAlignment="1"/>
    <xf numFmtId="0" fontId="1" fillId="0" borderId="37" xfId="0" applyFont="1" applyBorder="1" applyAlignment="1"/>
    <xf numFmtId="0" fontId="1" fillId="0" borderId="38" xfId="0" applyFont="1" applyBorder="1" applyAlignment="1"/>
    <xf numFmtId="0" fontId="1" fillId="0" borderId="39" xfId="0" applyFont="1" applyBorder="1" applyAlignment="1"/>
    <xf numFmtId="0" fontId="1" fillId="0" borderId="40" xfId="0" applyFont="1" applyBorder="1" applyAlignment="1"/>
    <xf numFmtId="0" fontId="1" fillId="0" borderId="41" xfId="0" applyFont="1" applyBorder="1" applyAlignment="1"/>
    <xf numFmtId="0" fontId="1" fillId="0" borderId="42" xfId="0" applyFont="1" applyBorder="1" applyAlignment="1"/>
    <xf numFmtId="0" fontId="5" fillId="5" borderId="17" xfId="0" applyFont="1" applyFill="1" applyBorder="1"/>
    <xf numFmtId="0" fontId="5" fillId="5" borderId="4" xfId="0" applyFont="1" applyFill="1" applyBorder="1"/>
    <xf numFmtId="0" fontId="5" fillId="5" borderId="4" xfId="0" applyFont="1" applyFill="1" applyBorder="1" applyAlignment="1">
      <alignment wrapText="1"/>
    </xf>
    <xf numFmtId="0" fontId="5" fillId="5" borderId="1" xfId="0" applyFont="1" applyFill="1" applyBorder="1"/>
    <xf numFmtId="0" fontId="5" fillId="5" borderId="18" xfId="0" applyFont="1" applyFill="1" applyBorder="1"/>
    <xf numFmtId="0" fontId="12" fillId="5" borderId="24" xfId="0" applyFont="1" applyFill="1" applyBorder="1"/>
    <xf numFmtId="0" fontId="12" fillId="5" borderId="25" xfId="0" applyFont="1" applyFill="1" applyBorder="1" applyAlignment="1">
      <alignment horizontal="center"/>
    </xf>
    <xf numFmtId="0" fontId="12" fillId="5" borderId="26" xfId="0" applyFont="1" applyFill="1" applyBorder="1" applyAlignment="1">
      <alignment horizontal="center"/>
    </xf>
    <xf numFmtId="0" fontId="12" fillId="5" borderId="27" xfId="0" applyFont="1" applyFill="1" applyBorder="1" applyAlignment="1">
      <alignment horizontal="center"/>
    </xf>
    <xf numFmtId="0" fontId="12" fillId="5" borderId="18" xfId="0" applyFont="1" applyFill="1" applyBorder="1" applyAlignment="1">
      <alignment horizontal="left"/>
    </xf>
    <xf numFmtId="0" fontId="12" fillId="5" borderId="23" xfId="0" applyFont="1" applyFill="1" applyBorder="1" applyAlignment="1">
      <alignment horizontal="center"/>
    </xf>
    <xf numFmtId="0" fontId="12" fillId="5" borderId="18" xfId="0" applyFont="1" applyFill="1" applyBorder="1" applyAlignment="1">
      <alignment horizontal="center"/>
    </xf>
    <xf numFmtId="0" fontId="12" fillId="5" borderId="17" xfId="0" applyFont="1" applyFill="1" applyBorder="1"/>
    <xf numFmtId="0" fontId="12" fillId="5" borderId="4" xfId="0" applyFont="1" applyFill="1" applyBorder="1"/>
    <xf numFmtId="0" fontId="4" fillId="4" borderId="4" xfId="0" applyFont="1" applyFill="1" applyBorder="1" applyAlignment="1">
      <alignment wrapText="1"/>
    </xf>
    <xf numFmtId="170" fontId="13" fillId="4" borderId="4" xfId="2" applyNumberFormat="1" applyFont="1" applyFill="1" applyBorder="1"/>
    <xf numFmtId="170" fontId="4" fillId="2" borderId="4" xfId="2" applyNumberFormat="1" applyFont="1" applyFill="1" applyBorder="1"/>
    <xf numFmtId="175" fontId="1" fillId="0" borderId="8" xfId="0" applyNumberFormat="1" applyFont="1" applyBorder="1" applyAlignment="1">
      <alignment horizontal="right" vertical="center" wrapText="1"/>
    </xf>
    <xf numFmtId="175" fontId="1" fillId="0" borderId="20" xfId="0" applyNumberFormat="1" applyFont="1" applyBorder="1" applyAlignment="1">
      <alignment horizontal="right" vertical="center" wrapText="1"/>
    </xf>
    <xf numFmtId="175" fontId="1" fillId="0" borderId="22" xfId="0" applyNumberFormat="1" applyFont="1" applyBorder="1" applyAlignment="1">
      <alignment horizontal="right" vertical="center" wrapText="1"/>
    </xf>
    <xf numFmtId="175" fontId="1" fillId="0" borderId="12" xfId="0" applyNumberFormat="1" applyFont="1" applyBorder="1" applyAlignment="1">
      <alignment horizontal="right" vertical="center" wrapText="1"/>
    </xf>
  </cellXfs>
  <cellStyles count="3">
    <cellStyle name="Comma" xfId="1" builtinId="3"/>
    <cellStyle name="Normal" xfId="0" builtinId="0"/>
    <cellStyle name="Percent" xfId="2" builtinId="5"/>
  </cellStyles>
  <dxfs count="14"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0" formatCode="&quot;$&quot;#,##0_);[Red]\(&quot;$&quot;#,##0\)"/>
      <alignment horizontal="righ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diagonalUp="0" diagonalDown="0">
        <left/>
        <right style="thin">
          <color theme="1"/>
        </right>
        <top/>
        <bottom/>
        <vertical/>
        <horizontal/>
      </border>
    </dxf>
    <dxf>
      <border diagonalUp="0" diagonalDown="0">
        <left style="thin">
          <color theme="1"/>
        </left>
        <right/>
        <top/>
        <bottom/>
        <vertical/>
        <horizontal/>
      </border>
    </dxf>
    <dxf>
      <border diagonalUp="0" diagonalDown="0">
        <left/>
        <right style="thin">
          <color theme="1"/>
        </right>
        <top/>
        <bottom/>
        <vertical/>
        <horizontal/>
      </border>
    </dxf>
    <dxf>
      <border diagonalUp="0" diagonalDown="0">
        <left style="thin">
          <color theme="1"/>
        </left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5381</xdr:rowOff>
    </xdr:from>
    <xdr:to>
      <xdr:col>0</xdr:col>
      <xdr:colOff>3056610</xdr:colOff>
      <xdr:row>6</xdr:row>
      <xdr:rowOff>80720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EAE18EC-9076-8371-4074-79486180D826}"/>
            </a:ext>
          </a:extLst>
        </xdr:cNvPr>
        <xdr:cNvSpPr txBox="1"/>
      </xdr:nvSpPr>
      <xdr:spPr>
        <a:xfrm>
          <a:off x="0" y="570423"/>
          <a:ext cx="3056610" cy="640382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Focused on recurring top/bottom performing</a:t>
          </a:r>
          <a:r>
            <a:rPr lang="en-US" b="1"/>
            <a:t> locations to identify operational differences associated with Product 4 performance.</a:t>
          </a:r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11450</xdr:colOff>
      <xdr:row>13</xdr:row>
      <xdr:rowOff>144299</xdr:rowOff>
    </xdr:from>
    <xdr:to>
      <xdr:col>14</xdr:col>
      <xdr:colOff>480586</xdr:colOff>
      <xdr:row>20</xdr:row>
      <xdr:rowOff>88270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1982F9-0461-FC4E-2D9E-2D2173CA823C}"/>
            </a:ext>
          </a:extLst>
        </xdr:cNvPr>
        <xdr:cNvSpPr txBox="1"/>
      </xdr:nvSpPr>
      <xdr:spPr>
        <a:xfrm>
          <a:off x="10318861" y="2576576"/>
          <a:ext cx="3286948" cy="1253658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Products 3 and 4 exhibited the largest separation between high- and low-performing airports</a:t>
          </a:r>
        </a:p>
        <a:p>
          <a:endParaRPr lang="en-US"/>
        </a:p>
        <a:p>
          <a:r>
            <a:rPr lang="en-US" b="1"/>
            <a:t>Rather than repeating the same revenue methodology across multiple products, Product 4 was used as a representative example.</a:t>
          </a:r>
          <a:endParaRPr lang="en-US" sz="1100" b="1"/>
        </a:p>
      </xdr:txBody>
    </xdr:sp>
    <xdr:clientData/>
  </xdr:twoCellAnchor>
  <xdr:twoCellAnchor>
    <xdr:from>
      <xdr:col>10</xdr:col>
      <xdr:colOff>561295</xdr:colOff>
      <xdr:row>8</xdr:row>
      <xdr:rowOff>164418</xdr:rowOff>
    </xdr:from>
    <xdr:to>
      <xdr:col>14</xdr:col>
      <xdr:colOff>515938</xdr:colOff>
      <xdr:row>12</xdr:row>
      <xdr:rowOff>96382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01CBD9-679B-9CDA-5679-C97FE70CFA1B}"/>
            </a:ext>
          </a:extLst>
        </xdr:cNvPr>
        <xdr:cNvSpPr txBox="1"/>
      </xdr:nvSpPr>
      <xdr:spPr>
        <a:xfrm>
          <a:off x="10256384" y="1661204"/>
          <a:ext cx="3384777" cy="680357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Location 260 was selected as the focus location as it appears in the bottom cohort for 3 of 5 products, more than any other site</a:t>
          </a:r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113393</xdr:colOff>
      <xdr:row>29</xdr:row>
      <xdr:rowOff>120952</xdr:rowOff>
    </xdr:from>
    <xdr:to>
      <xdr:col>3</xdr:col>
      <xdr:colOff>35943</xdr:colOff>
      <xdr:row>37</xdr:row>
      <xdr:rowOff>131793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462136-F820-9281-FCAC-5BA282D242EB}"/>
            </a:ext>
          </a:extLst>
        </xdr:cNvPr>
        <xdr:cNvSpPr txBox="1"/>
      </xdr:nvSpPr>
      <xdr:spPr>
        <a:xfrm>
          <a:off x="113393" y="6267273"/>
          <a:ext cx="4271701" cy="1496501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Observations</a:t>
          </a:r>
          <a:r>
            <a:rPr lang="en-US" sz="1200" b="1"/>
            <a:t>:</a:t>
          </a:r>
        </a:p>
        <a:p>
          <a:endParaRPr lang="en-US" sz="1200" b="1"/>
        </a:p>
        <a:p>
          <a:r>
            <a:rPr lang="en-US" sz="1200" b="1"/>
            <a:t>Higher Counter Bypass among low performers </a:t>
          </a:r>
        </a:p>
        <a:p>
          <a:endParaRPr lang="en-US" sz="1200" b="1"/>
        </a:p>
        <a:p>
          <a:r>
            <a:rPr lang="en-US" sz="1200" b="1"/>
            <a:t>Higher SUV/Van mix among high performers </a:t>
          </a:r>
        </a:p>
        <a:p>
          <a:endParaRPr lang="en-US" sz="1200" b="1"/>
        </a:p>
        <a:p>
          <a:r>
            <a:rPr lang="en-US" sz="1200" b="1"/>
            <a:t>More Leisure-oriented customer mix among high performers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5880</xdr:colOff>
      <xdr:row>19</xdr:row>
      <xdr:rowOff>58796</xdr:rowOff>
    </xdr:from>
    <xdr:to>
      <xdr:col>3</xdr:col>
      <xdr:colOff>82313</xdr:colOff>
      <xdr:row>23</xdr:row>
      <xdr:rowOff>123472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A00A87-6220-C093-541C-2EAF3DDCB7C9}"/>
            </a:ext>
          </a:extLst>
        </xdr:cNvPr>
        <xdr:cNvSpPr txBox="1"/>
      </xdr:nvSpPr>
      <xdr:spPr>
        <a:xfrm>
          <a:off x="5880" y="4074583"/>
          <a:ext cx="3427822" cy="817269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Even capturing one-third of the observed benchmark gap (+5 pp) increases estimated Product 4 revenue from approximately $1.0K to $11.3K, showing the impact of modest improvements in attachment rates.</a:t>
          </a:r>
          <a:endParaRPr lang="en-US" sz="1100" b="1"/>
        </a:p>
      </xdr:txBody>
    </xdr:sp>
    <xdr:clientData/>
  </xdr:twoCellAnchor>
  <xdr:twoCellAnchor>
    <xdr:from>
      <xdr:col>0</xdr:col>
      <xdr:colOff>29397</xdr:colOff>
      <xdr:row>0</xdr:row>
      <xdr:rowOff>164629</xdr:rowOff>
    </xdr:from>
    <xdr:to>
      <xdr:col>4</xdr:col>
      <xdr:colOff>964260</xdr:colOff>
      <xdr:row>6</xdr:row>
      <xdr:rowOff>11759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BFBC4D-F969-4990-79A1-0AE25CDF7748}"/>
            </a:ext>
          </a:extLst>
        </xdr:cNvPr>
        <xdr:cNvSpPr txBox="1"/>
      </xdr:nvSpPr>
      <xdr:spPr>
        <a:xfrm>
          <a:off x="29397" y="164629"/>
          <a:ext cx="5526854" cy="976019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Rather than assuming Location 260 reaches the performance of the top locations, I modeled  conservative and moderate improvement scenarios (+5 and +10 percentage points). </a:t>
          </a:r>
        </a:p>
        <a:p>
          <a:endParaRPr lang="en-US" b="1"/>
        </a:p>
        <a:p>
          <a:r>
            <a:rPr lang="en-US" b="1"/>
            <a:t>Both scenarios remain below the observed median benchmark gap of approximately 15 percentage points identified in the analysis.</a:t>
          </a:r>
        </a:p>
      </xdr:txBody>
    </xdr:sp>
    <xdr:clientData/>
  </xdr:twoCellAnchor>
  <xdr:twoCellAnchor>
    <xdr:from>
      <xdr:col>0</xdr:col>
      <xdr:colOff>0</xdr:colOff>
      <xdr:row>9</xdr:row>
      <xdr:rowOff>176389</xdr:rowOff>
    </xdr:from>
    <xdr:to>
      <xdr:col>6</xdr:col>
      <xdr:colOff>1345595</xdr:colOff>
      <xdr:row>11</xdr:row>
      <xdr:rowOff>42334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FBAF07B-7138-F696-4FD7-EDB966BFEEE3}"/>
            </a:ext>
          </a:extLst>
        </xdr:cNvPr>
        <xdr:cNvSpPr txBox="1"/>
      </xdr:nvSpPr>
      <xdr:spPr>
        <a:xfrm>
          <a:off x="0" y="2051151"/>
          <a:ext cx="9352643" cy="240897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My</a:t>
          </a:r>
          <a:r>
            <a:rPr lang="en-US" sz="1100" b="1" baseline="0"/>
            <a:t> revenue formula is based on given data = RATE PER SOLD DAY * # RENTALS * </a:t>
          </a:r>
          <a:r>
            <a:rPr lang="en-US" b="1"/>
            <a:t>PENETRATION</a:t>
          </a:r>
          <a:r>
            <a:rPr lang="en-US" sz="1100" b="1" baseline="0"/>
            <a:t> *LENGTH OF RENTAL ~ ACTUAL REVENUE = GOOD PROXY</a:t>
          </a: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734D8D1-3E02-45F5-B440-F56C94C186B2}" name="Table10" displayName="Table10" ref="A9:B13" totalsRowShown="0" dataDxfId="0">
  <autoFilter ref="A9:B13" xr:uid="{A734D8D1-3E02-45F5-B440-F56C94C186B2}"/>
  <tableColumns count="2">
    <tableColumn id="1" xr3:uid="{E25283DC-C562-4E18-A07B-F84490962A25}" name="Assumption" dataDxfId="2"/>
    <tableColumn id="2" xr3:uid="{A0321E8F-07B8-47FF-B7FA-40200C8ED524}" name="Rationale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026319-A89C-4DD1-95E4-CE00719DE2C0}" name="Table2" displayName="Table2" ref="A9:E19" totalsRowShown="0">
  <autoFilter ref="A9:E19" xr:uid="{C3026319-A89C-4DD1-95E4-CE00719DE2C0}"/>
  <tableColumns count="5">
    <tableColumn id="1" xr3:uid="{E30FF08F-FCB7-4CF4-8B30-9FC225C75FAD}" name="Rank" dataDxfId="13"/>
    <tableColumn id="2" xr3:uid="{9380E107-DC67-44CC-8148-CEAD2819D36D}" name="Checkout Loc."/>
    <tableColumn id="3" xr3:uid="{1991C65D-CE2D-4AC2-851D-ABD5DF5D7AC4}" name="Product 4 Pentration"/>
    <tableColumn id="4" xr3:uid="{A7CE64A0-B6F6-4A0B-9D70-828ED4C95CE9}" name="Walkup/No Reservation %"/>
    <tableColumn id="5" xr3:uid="{B64CE7B4-777F-4DCC-B9F9-3DDE3383EC55}" name="Counter Bypass %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A0E88E-A365-4000-AE42-A8196165DE32}" name="Table3" displayName="Table3" ref="A23:E33" totalsRowShown="0">
  <autoFilter ref="A23:E33" xr:uid="{76A0E88E-A365-4000-AE42-A8196165DE32}"/>
  <tableColumns count="5">
    <tableColumn id="1" xr3:uid="{BF9CBEC8-E388-44E9-97D5-CAAFC45B7396}" name="Rank" dataDxfId="11"/>
    <tableColumn id="2" xr3:uid="{E5B51E20-E92D-49A8-9A23-769DCE529391}" name="Checkout Loc."/>
    <tableColumn id="3" xr3:uid="{F0F86D0D-7D3B-4280-9A48-84BEA8BF8CFB}" name="Product 4 Pentration"/>
    <tableColumn id="4" xr3:uid="{671496AF-8186-43FA-8A35-504D7E6EFFF1}" name="Walkup/No Reservation %"/>
    <tableColumn id="5" xr3:uid="{30B5C582-A8E5-4CCF-9235-6EFFD52D1BC9}" name="Counter Bypass %" dataDxfId="1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EADD93-BD8A-4EF9-BEF3-196AD073D979}" name="Table4" displayName="Table4" ref="I9:J19" totalsRowShown="0">
  <autoFilter ref="I9:J19" xr:uid="{D1EADD93-BD8A-4EF9-BEF3-196AD073D979}"/>
  <tableColumns count="2">
    <tableColumn id="1" xr3:uid="{D438DFDC-B63F-4EBC-BC3E-67DE8635CF02}" name="Location"/>
    <tableColumn id="2" xr3:uid="{A4A21764-5FD5-4667-9572-D06F44043327}" name="# of  Appearence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8C82BC-48FD-4A67-99F8-6E8D34801609}" name="Table5" displayName="Table5" ref="I23:J33" totalsRowShown="0">
  <autoFilter ref="I23:J33" xr:uid="{EE8C82BC-48FD-4A67-99F8-6E8D34801609}"/>
  <tableColumns count="2">
    <tableColumn id="1" xr3:uid="{C4354FC1-3F25-4551-80C6-93DE945E9A0D}" name="Location"/>
    <tableColumn id="2" xr3:uid="{17299267-899A-4C61-B277-0E66F7496ABB}" name="# of  Appearence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4894E2-D407-4EFD-A00E-43BD3EBB5B1E}" name="Table6" displayName="Table6" ref="A14:F17" totalsRowShown="0" headerRowDxfId="3" headerRowBorderDxfId="8" tableBorderDxfId="9" totalsRowBorderDxfId="7">
  <autoFilter ref="A14:F17" xr:uid="{6B4894E2-D407-4EFD-A00E-43BD3EBB5B1E}"/>
  <tableColumns count="6">
    <tableColumn id="1" xr3:uid="{8D334373-4DDB-458A-81E4-336F8E918A0C}" name="Checkout Loc." dataDxfId="6"/>
    <tableColumn id="2" xr3:uid="{6D54D8FF-4958-496F-8D9B-B69B69F6E1BE}" name="Scenario  " dataDxfId="5"/>
    <tableColumn id="3" xr3:uid="{00A6BD71-B92E-46EB-AD37-E4F9B8B030AC}" name="P4 Penetration"/>
    <tableColumn id="4" xr3:uid="{CDEF430F-1CBD-4681-88E0-B40CBAE8C5B5}" name="Actual Revenue" dataDxfId="4"/>
    <tableColumn id="5" xr3:uid="{5F496FBE-8ABA-4B07-BF95-1F4979EC9110}" name="Projected Revenue"/>
    <tableColumn id="6" xr3:uid="{E416E138-846F-415E-A8B1-6D7C4615D3FC}" name="Incremental Reven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C069-36A1-40EF-8D10-D5BA209A030D}">
  <dimension ref="A2:H13"/>
  <sheetViews>
    <sheetView zoomScale="59" workbookViewId="0">
      <selection activeCell="A2" sqref="A2"/>
    </sheetView>
  </sheetViews>
  <sheetFormatPr defaultRowHeight="14.75" x14ac:dyDescent="0.75"/>
  <cols>
    <col min="1" max="1" width="39.04296875" customWidth="1"/>
    <col min="2" max="2" width="40.5" customWidth="1"/>
  </cols>
  <sheetData>
    <row r="2" spans="1:8" x14ac:dyDescent="0.75">
      <c r="A2" s="51" t="s">
        <v>374</v>
      </c>
    </row>
    <row r="4" spans="1:8" x14ac:dyDescent="0.75">
      <c r="A4" s="49"/>
    </row>
    <row r="5" spans="1:8" x14ac:dyDescent="0.75">
      <c r="A5" s="49"/>
    </row>
    <row r="6" spans="1:8" x14ac:dyDescent="0.75">
      <c r="H6" s="49"/>
    </row>
    <row r="9" spans="1:8" x14ac:dyDescent="0.75">
      <c r="A9" t="s">
        <v>358</v>
      </c>
      <c r="B9" t="s">
        <v>359</v>
      </c>
    </row>
    <row r="10" spans="1:8" ht="29.5" x14ac:dyDescent="0.75">
      <c r="A10" s="50" t="s">
        <v>372</v>
      </c>
      <c r="B10" s="5" t="s">
        <v>373</v>
      </c>
    </row>
    <row r="11" spans="1:8" x14ac:dyDescent="0.75">
      <c r="A11" s="50" t="s">
        <v>360</v>
      </c>
      <c r="B11" s="5" t="s">
        <v>361</v>
      </c>
    </row>
    <row r="12" spans="1:8" x14ac:dyDescent="0.75">
      <c r="A12" s="5" t="s">
        <v>362</v>
      </c>
      <c r="B12" s="5" t="s">
        <v>363</v>
      </c>
    </row>
    <row r="13" spans="1:8" x14ac:dyDescent="0.75">
      <c r="A13" s="5" t="s">
        <v>364</v>
      </c>
      <c r="B13" s="5" t="s">
        <v>365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1C8F-4945-4E90-9044-BBA7FEE312ED}">
  <sheetPr>
    <pageSetUpPr fitToPage="1"/>
  </sheetPr>
  <dimension ref="A2:J33"/>
  <sheetViews>
    <sheetView topLeftCell="A2" zoomScale="56" zoomScaleNormal="100" workbookViewId="0">
      <selection activeCell="Q14" sqref="Q14"/>
    </sheetView>
  </sheetViews>
  <sheetFormatPr defaultRowHeight="14.75" x14ac:dyDescent="0.75"/>
  <cols>
    <col min="2" max="2" width="15.81640625" customWidth="1"/>
    <col min="3" max="3" width="19.40625" customWidth="1"/>
    <col min="4" max="4" width="23" customWidth="1"/>
    <col min="5" max="5" width="19.2265625" customWidth="1"/>
    <col min="9" max="9" width="9.54296875" customWidth="1"/>
    <col min="10" max="10" width="16.6796875" customWidth="1"/>
    <col min="13" max="13" width="11.6328125" customWidth="1"/>
    <col min="14" max="14" width="20" customWidth="1"/>
    <col min="15" max="15" width="18.31640625" customWidth="1"/>
  </cols>
  <sheetData>
    <row r="2" spans="1:10" x14ac:dyDescent="0.75">
      <c r="A2" s="73" t="s">
        <v>341</v>
      </c>
      <c r="B2" s="74"/>
      <c r="C2" s="74"/>
      <c r="D2" s="74"/>
      <c r="E2" s="75"/>
    </row>
    <row r="3" spans="1:10" x14ac:dyDescent="0.75">
      <c r="A3" s="76" t="s">
        <v>343</v>
      </c>
      <c r="B3" s="18"/>
      <c r="C3" s="18"/>
      <c r="D3" s="18"/>
      <c r="E3" s="77"/>
    </row>
    <row r="4" spans="1:10" x14ac:dyDescent="0.75">
      <c r="A4" s="78" t="s">
        <v>345</v>
      </c>
      <c r="B4" s="19"/>
      <c r="C4" s="19"/>
      <c r="D4" s="19"/>
      <c r="E4" s="79"/>
    </row>
    <row r="5" spans="1:10" x14ac:dyDescent="0.75">
      <c r="A5" s="80" t="s">
        <v>347</v>
      </c>
      <c r="B5" s="81"/>
      <c r="C5" s="81"/>
      <c r="D5" s="81"/>
      <c r="E5" s="82"/>
    </row>
    <row r="6" spans="1:10" x14ac:dyDescent="0.75">
      <c r="I6" s="33"/>
    </row>
    <row r="7" spans="1:10" x14ac:dyDescent="0.75">
      <c r="A7" s="33" t="s">
        <v>366</v>
      </c>
      <c r="B7" s="17"/>
      <c r="D7" s="33"/>
      <c r="I7" s="33" t="s">
        <v>346</v>
      </c>
    </row>
    <row r="9" spans="1:10" x14ac:dyDescent="0.75">
      <c r="A9" t="s">
        <v>340</v>
      </c>
      <c r="B9" t="s">
        <v>339</v>
      </c>
      <c r="C9" s="12" t="s">
        <v>338</v>
      </c>
      <c r="D9" t="s">
        <v>21</v>
      </c>
      <c r="E9" t="s">
        <v>20</v>
      </c>
      <c r="I9" t="s">
        <v>342</v>
      </c>
      <c r="J9" t="s">
        <v>344</v>
      </c>
    </row>
    <row r="10" spans="1:10" x14ac:dyDescent="0.75">
      <c r="A10" s="23">
        <v>1</v>
      </c>
      <c r="B10" s="24" t="s">
        <v>61</v>
      </c>
      <c r="C10" s="24">
        <v>0</v>
      </c>
      <c r="D10" s="24">
        <v>3.2399999999999998E-2</v>
      </c>
      <c r="E10" s="25">
        <v>0.45800000000000002</v>
      </c>
      <c r="I10" s="15">
        <v>260</v>
      </c>
      <c r="J10" s="15">
        <v>3</v>
      </c>
    </row>
    <row r="11" spans="1:10" x14ac:dyDescent="0.75">
      <c r="A11" s="26">
        <v>2</v>
      </c>
      <c r="B11" s="27" t="s">
        <v>63</v>
      </c>
      <c r="C11" s="27">
        <v>0</v>
      </c>
      <c r="D11" s="27">
        <v>2.3099999999999999E-2</v>
      </c>
      <c r="E11" s="35">
        <v>0.54</v>
      </c>
      <c r="I11">
        <v>137</v>
      </c>
      <c r="J11">
        <v>2</v>
      </c>
    </row>
    <row r="12" spans="1:10" x14ac:dyDescent="0.75">
      <c r="A12" s="26">
        <v>3</v>
      </c>
      <c r="B12" s="27" t="s">
        <v>66</v>
      </c>
      <c r="C12" s="27">
        <v>0</v>
      </c>
      <c r="D12" s="27">
        <v>2.47E-2</v>
      </c>
      <c r="E12" s="28">
        <v>0.432</v>
      </c>
      <c r="I12">
        <v>224</v>
      </c>
      <c r="J12">
        <v>2</v>
      </c>
    </row>
    <row r="13" spans="1:10" x14ac:dyDescent="0.75">
      <c r="A13" s="26">
        <v>4</v>
      </c>
      <c r="B13" s="27" t="s">
        <v>117</v>
      </c>
      <c r="C13" s="27">
        <v>0</v>
      </c>
      <c r="D13" s="27">
        <v>5.6399999999999999E-2</v>
      </c>
      <c r="E13" s="28">
        <v>0.44900000000000001</v>
      </c>
      <c r="I13">
        <v>232</v>
      </c>
      <c r="J13">
        <v>2</v>
      </c>
    </row>
    <row r="14" spans="1:10" x14ac:dyDescent="0.75">
      <c r="A14" s="26">
        <v>5</v>
      </c>
      <c r="B14" s="27" t="s">
        <v>59</v>
      </c>
      <c r="C14" s="27">
        <v>1E-4</v>
      </c>
      <c r="D14" s="27">
        <v>4.2500000000000003E-2</v>
      </c>
      <c r="E14" s="28">
        <v>0.48499999999999999</v>
      </c>
      <c r="I14">
        <v>248</v>
      </c>
      <c r="J14">
        <v>2</v>
      </c>
    </row>
    <row r="15" spans="1:10" x14ac:dyDescent="0.75">
      <c r="A15" s="26">
        <v>6</v>
      </c>
      <c r="B15" s="27" t="s">
        <v>113</v>
      </c>
      <c r="C15" s="27">
        <v>1E-4</v>
      </c>
      <c r="D15" s="27">
        <v>5.5500000000000001E-2</v>
      </c>
      <c r="E15" s="28">
        <v>0.55200000000000005</v>
      </c>
      <c r="I15">
        <v>254</v>
      </c>
      <c r="J15">
        <v>2</v>
      </c>
    </row>
    <row r="16" spans="1:10" x14ac:dyDescent="0.75">
      <c r="A16" s="26">
        <v>7</v>
      </c>
      <c r="B16" s="27" t="s">
        <v>138</v>
      </c>
      <c r="C16" s="27">
        <v>1E-4</v>
      </c>
      <c r="D16" s="27">
        <v>2.6499999999999999E-2</v>
      </c>
      <c r="E16" s="28">
        <v>0.53900000000000003</v>
      </c>
      <c r="I16">
        <v>263</v>
      </c>
      <c r="J16">
        <v>2</v>
      </c>
    </row>
    <row r="17" spans="1:10" ht="14.75" customHeight="1" x14ac:dyDescent="0.75">
      <c r="A17" s="26">
        <v>8</v>
      </c>
      <c r="B17" s="27" t="s">
        <v>155</v>
      </c>
      <c r="C17" s="27">
        <v>1E-4</v>
      </c>
      <c r="D17" s="27">
        <v>3.2899999999999999E-2</v>
      </c>
      <c r="E17" s="28">
        <v>0.375</v>
      </c>
      <c r="I17">
        <v>100</v>
      </c>
      <c r="J17">
        <v>1</v>
      </c>
    </row>
    <row r="18" spans="1:10" ht="14.75" customHeight="1" x14ac:dyDescent="0.75">
      <c r="A18" s="26">
        <v>9</v>
      </c>
      <c r="B18" s="27" t="s">
        <v>85</v>
      </c>
      <c r="C18" s="27">
        <v>2.0000000000000001E-4</v>
      </c>
      <c r="D18" s="27">
        <v>3.2399999999999998E-2</v>
      </c>
      <c r="E18" s="28">
        <v>0.443</v>
      </c>
      <c r="I18">
        <v>105</v>
      </c>
      <c r="J18">
        <v>1</v>
      </c>
    </row>
    <row r="19" spans="1:10" x14ac:dyDescent="0.75">
      <c r="A19" s="20">
        <v>10</v>
      </c>
      <c r="B19" s="21" t="s">
        <v>129</v>
      </c>
      <c r="C19" s="21">
        <v>2.0000000000000001E-4</v>
      </c>
      <c r="D19" s="21">
        <v>3.8800000000000001E-2</v>
      </c>
      <c r="E19" s="22">
        <v>0.438</v>
      </c>
      <c r="I19">
        <v>117</v>
      </c>
      <c r="J19">
        <v>1</v>
      </c>
    </row>
    <row r="21" spans="1:10" x14ac:dyDescent="0.75">
      <c r="A21" s="33" t="s">
        <v>367</v>
      </c>
    </row>
    <row r="23" spans="1:10" x14ac:dyDescent="0.75">
      <c r="A23" t="s">
        <v>340</v>
      </c>
      <c r="B23" t="s">
        <v>339</v>
      </c>
      <c r="C23" s="12" t="s">
        <v>338</v>
      </c>
      <c r="D23" t="s">
        <v>21</v>
      </c>
      <c r="E23" t="s">
        <v>20</v>
      </c>
      <c r="I23" t="s">
        <v>342</v>
      </c>
      <c r="J23" t="s">
        <v>344</v>
      </c>
    </row>
    <row r="24" spans="1:10" x14ac:dyDescent="0.75">
      <c r="A24" s="23">
        <v>1</v>
      </c>
      <c r="B24" s="24" t="s">
        <v>79</v>
      </c>
      <c r="C24" s="24">
        <v>0.19400000000000001</v>
      </c>
      <c r="D24" s="24">
        <v>3.49E-2</v>
      </c>
      <c r="E24" s="36">
        <v>0.44</v>
      </c>
      <c r="I24">
        <v>7</v>
      </c>
      <c r="J24">
        <v>4</v>
      </c>
    </row>
    <row r="25" spans="1:10" x14ac:dyDescent="0.75">
      <c r="A25" s="26">
        <v>2</v>
      </c>
      <c r="B25" s="27" t="s">
        <v>127</v>
      </c>
      <c r="C25" s="27">
        <v>0.217</v>
      </c>
      <c r="D25" s="27">
        <v>4.3299999999999998E-2</v>
      </c>
      <c r="E25" s="28">
        <v>0.26100000000000001</v>
      </c>
      <c r="I25">
        <v>2</v>
      </c>
      <c r="J25">
        <v>3</v>
      </c>
    </row>
    <row r="26" spans="1:10" x14ac:dyDescent="0.75">
      <c r="A26" s="26">
        <v>3</v>
      </c>
      <c r="B26" s="27" t="s">
        <v>44</v>
      </c>
      <c r="C26" s="27">
        <v>0.218</v>
      </c>
      <c r="D26" s="27">
        <v>2.1399999999999999E-2</v>
      </c>
      <c r="E26" s="28">
        <v>0.50900000000000001</v>
      </c>
      <c r="I26">
        <v>233</v>
      </c>
      <c r="J26">
        <v>3</v>
      </c>
    </row>
    <row r="27" spans="1:10" x14ac:dyDescent="0.75">
      <c r="A27" s="26">
        <v>4</v>
      </c>
      <c r="B27" s="27" t="s">
        <v>49</v>
      </c>
      <c r="C27" s="27">
        <v>0.246</v>
      </c>
      <c r="D27" s="27">
        <v>4.6600000000000003E-2</v>
      </c>
      <c r="E27" s="28">
        <v>0.39500000000000002</v>
      </c>
      <c r="I27">
        <v>8</v>
      </c>
      <c r="J27">
        <v>3</v>
      </c>
    </row>
    <row r="28" spans="1:10" x14ac:dyDescent="0.75">
      <c r="A28" s="26">
        <v>5</v>
      </c>
      <c r="B28" s="27" t="s">
        <v>48</v>
      </c>
      <c r="C28" s="27">
        <v>0.253</v>
      </c>
      <c r="D28" s="27">
        <v>1.4800000000000001E-2</v>
      </c>
      <c r="E28" s="28">
        <v>0.48199999999999998</v>
      </c>
      <c r="I28">
        <v>1</v>
      </c>
      <c r="J28">
        <v>2</v>
      </c>
    </row>
    <row r="29" spans="1:10" x14ac:dyDescent="0.75">
      <c r="A29" s="26">
        <v>6</v>
      </c>
      <c r="B29" s="27" t="s">
        <v>46</v>
      </c>
      <c r="C29" s="27">
        <v>0.26</v>
      </c>
      <c r="D29" s="27">
        <v>2.3E-2</v>
      </c>
      <c r="E29" s="28">
        <v>0.52500000000000002</v>
      </c>
      <c r="I29">
        <v>157</v>
      </c>
      <c r="J29">
        <v>2</v>
      </c>
    </row>
    <row r="30" spans="1:10" x14ac:dyDescent="0.75">
      <c r="A30" s="26">
        <v>7</v>
      </c>
      <c r="B30" s="27" t="s">
        <v>43</v>
      </c>
      <c r="C30" s="27">
        <v>0.28100000000000003</v>
      </c>
      <c r="D30" s="27">
        <v>4.4200000000000003E-2</v>
      </c>
      <c r="E30" s="28">
        <v>0.52</v>
      </c>
      <c r="I30">
        <v>16</v>
      </c>
      <c r="J30">
        <v>2</v>
      </c>
    </row>
    <row r="31" spans="1:10" x14ac:dyDescent="0.75">
      <c r="A31" s="26">
        <v>8</v>
      </c>
      <c r="B31" s="27" t="s">
        <v>54</v>
      </c>
      <c r="C31" s="27">
        <v>0.29399999999999998</v>
      </c>
      <c r="D31" s="27">
        <v>4.2999999999999997E-2</v>
      </c>
      <c r="E31" s="28">
        <v>0.46800000000000003</v>
      </c>
      <c r="I31">
        <v>192</v>
      </c>
      <c r="J31">
        <v>2</v>
      </c>
    </row>
    <row r="32" spans="1:10" x14ac:dyDescent="0.75">
      <c r="A32" s="26">
        <v>9</v>
      </c>
      <c r="B32" s="27" t="s">
        <v>39</v>
      </c>
      <c r="C32" s="27">
        <v>0.43</v>
      </c>
      <c r="D32" s="27">
        <v>5.1700000000000003E-2</v>
      </c>
      <c r="E32" s="28">
        <v>0.39500000000000002</v>
      </c>
      <c r="I32">
        <v>248</v>
      </c>
      <c r="J32">
        <v>2</v>
      </c>
    </row>
    <row r="33" spans="1:10" x14ac:dyDescent="0.75">
      <c r="A33" s="20">
        <v>10</v>
      </c>
      <c r="B33" s="21" t="s">
        <v>45</v>
      </c>
      <c r="C33" s="21">
        <v>0.59799999999999998</v>
      </c>
      <c r="D33" s="21">
        <v>3.7499999999999999E-2</v>
      </c>
      <c r="E33" s="22">
        <v>0.30499999999999999</v>
      </c>
      <c r="I33">
        <v>251</v>
      </c>
      <c r="J33">
        <v>2</v>
      </c>
    </row>
  </sheetData>
  <mergeCells count="4">
    <mergeCell ref="A2:E2"/>
    <mergeCell ref="A3:E3"/>
    <mergeCell ref="A4:E4"/>
    <mergeCell ref="A5:E5"/>
  </mergeCells>
  <phoneticPr fontId="2" type="noConversion"/>
  <pageMargins left="0.7" right="0.7" top="0.75" bottom="0.75" header="0.3" footer="0.3"/>
  <pageSetup scale="44" orientation="portrait" r:id="rId1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78B4-1560-4235-A827-3E94F1458A25}">
  <dimension ref="A2:M28"/>
  <sheetViews>
    <sheetView zoomScale="57" workbookViewId="0">
      <selection activeCell="K16" sqref="K16"/>
    </sheetView>
  </sheetViews>
  <sheetFormatPr defaultRowHeight="14.75" x14ac:dyDescent="0.75"/>
  <cols>
    <col min="1" max="1" width="23.81640625" customWidth="1"/>
    <col min="2" max="2" width="19.1796875" customWidth="1"/>
    <col min="3" max="3" width="19.1796875" bestFit="1" customWidth="1"/>
    <col min="4" max="4" width="19.6328125" customWidth="1"/>
    <col min="5" max="5" width="17.953125" customWidth="1"/>
    <col min="6" max="6" width="13" customWidth="1"/>
    <col min="7" max="7" width="10.5" customWidth="1"/>
    <col min="8" max="8" width="11.04296875" customWidth="1"/>
    <col min="9" max="9" width="12.5" customWidth="1"/>
    <col min="10" max="10" width="7.7265625" customWidth="1"/>
    <col min="11" max="11" width="7.40625" bestFit="1" customWidth="1"/>
    <col min="12" max="12" width="15.6328125" bestFit="1" customWidth="1"/>
    <col min="13" max="13" width="24.5" customWidth="1"/>
  </cols>
  <sheetData>
    <row r="2" spans="1:10" ht="20.5" x14ac:dyDescent="0.9">
      <c r="A2" s="52" t="s">
        <v>375</v>
      </c>
    </row>
    <row r="5" spans="1:10" ht="16" x14ac:dyDescent="0.8">
      <c r="A5" s="88" t="s">
        <v>369</v>
      </c>
      <c r="B5" s="89" t="s">
        <v>331</v>
      </c>
      <c r="C5" s="90" t="s">
        <v>332</v>
      </c>
      <c r="D5" s="90" t="s">
        <v>333</v>
      </c>
      <c r="E5" s="90" t="s">
        <v>334</v>
      </c>
      <c r="F5" s="91" t="s">
        <v>335</v>
      </c>
    </row>
    <row r="6" spans="1:10" ht="16" x14ac:dyDescent="0.8">
      <c r="A6" s="54" t="s">
        <v>298</v>
      </c>
      <c r="B6" s="55">
        <f>_xlfn.XLOOKUP(A6,'RAW DATA'!A:A,'RAW DATA'!T:T)</f>
        <v>2.4899999999999999E-2</v>
      </c>
      <c r="C6" s="55">
        <f>_xlfn.XLOOKUP(A6,'RAW DATA'!A:A,'RAW DATA'!W:W)</f>
        <v>8.3999999999999995E-3</v>
      </c>
      <c r="D6" s="55">
        <f>_xlfn.XLOOKUP(A6,'RAW DATA'!A:A,'RAW DATA'!Z:Z)</f>
        <v>1.32E-2</v>
      </c>
      <c r="E6" s="56">
        <f>_xlfn.XLOOKUP(A6,'RAW DATA'!A:A,'RAW DATA'!AC:AC)</f>
        <v>5.0000000000000001E-3</v>
      </c>
      <c r="F6" s="57">
        <f>_xlfn.XLOOKUP(A6,'RAW DATA'!A:A,'RAW DATA'!AF:AF)</f>
        <v>3.0999999999999999E-3</v>
      </c>
    </row>
    <row r="7" spans="1:10" ht="16" x14ac:dyDescent="0.8">
      <c r="A7" s="54" t="s">
        <v>175</v>
      </c>
      <c r="B7" s="55">
        <f>_xlfn.XLOOKUP(A7,'RAW DATA'!A:A,'RAW DATA'!T:T)</f>
        <v>5.0500000000000003E-2</v>
      </c>
      <c r="C7" s="55">
        <f>_xlfn.XLOOKUP(A7,'RAW DATA'!A:A,'RAW DATA'!W:W)</f>
        <v>1.43E-2</v>
      </c>
      <c r="D7" s="55">
        <f>_xlfn.XLOOKUP(A7,'RAW DATA'!A:A,'RAW DATA'!Z:Z)</f>
        <v>2.2200000000000001E-2</v>
      </c>
      <c r="E7" s="56">
        <f>_xlfn.XLOOKUP(A7,'RAW DATA'!A:A,'RAW DATA'!AC:AC)</f>
        <v>4.0000000000000002E-4</v>
      </c>
      <c r="F7" s="57">
        <f>_xlfn.XLOOKUP(A7,'RAW DATA'!A:A,'RAW DATA'!AF:AF)</f>
        <v>1.3100000000000001E-2</v>
      </c>
    </row>
    <row r="8" spans="1:10" ht="16" x14ac:dyDescent="0.8">
      <c r="A8" s="58" t="s">
        <v>262</v>
      </c>
      <c r="B8" s="59">
        <f>_xlfn.XLOOKUP(A8,'RAW DATA'!A:A,'RAW DATA'!T:T)</f>
        <v>5.0900000000000001E-2</v>
      </c>
      <c r="C8" s="59">
        <f>_xlfn.XLOOKUP(A8,'RAW DATA'!A:A,'RAW DATA'!W:W)</f>
        <v>1.9199999999999998E-2</v>
      </c>
      <c r="D8" s="59">
        <f>_xlfn.XLOOKUP(A8,'RAW DATA'!A:A,'RAW DATA'!Z:Z)</f>
        <v>1.5299999999999999E-2</v>
      </c>
      <c r="E8" s="60">
        <f>_xlfn.XLOOKUP(A8,'RAW DATA'!A:A,'RAW DATA'!AC:AC)</f>
        <v>1.0999999999999999E-2</v>
      </c>
      <c r="F8" s="61">
        <f>_xlfn.XLOOKUP(A8,'RAW DATA'!A:A,'RAW DATA'!AF:AF)</f>
        <v>3.0000000000000001E-3</v>
      </c>
    </row>
    <row r="9" spans="1:10" s="14" customFormat="1" ht="16" x14ac:dyDescent="0.8">
      <c r="A9" s="62"/>
      <c r="B9" s="63"/>
      <c r="C9" s="63"/>
      <c r="D9" s="63"/>
      <c r="E9" s="64"/>
      <c r="F9" s="63"/>
    </row>
    <row r="10" spans="1:10" ht="16" x14ac:dyDescent="0.8">
      <c r="A10" s="92" t="s">
        <v>370</v>
      </c>
      <c r="B10" s="93" t="s">
        <v>331</v>
      </c>
      <c r="C10" s="94" t="s">
        <v>332</v>
      </c>
      <c r="D10" s="94" t="s">
        <v>333</v>
      </c>
      <c r="E10" s="94" t="s">
        <v>334</v>
      </c>
      <c r="F10" s="94" t="s">
        <v>335</v>
      </c>
    </row>
    <row r="11" spans="1:10" ht="16" x14ac:dyDescent="0.8">
      <c r="A11" s="65" t="s">
        <v>45</v>
      </c>
      <c r="B11" s="55">
        <f>_xlfn.XLOOKUP(A11,'RAW DATA'!A:A,'RAW DATA'!T:T)</f>
        <v>7.2700000000000001E-2</v>
      </c>
      <c r="C11" s="55">
        <f>_xlfn.XLOOKUP(A11,'RAW DATA'!A:A,'RAW DATA'!W:W)</f>
        <v>9.69E-2</v>
      </c>
      <c r="D11" s="55">
        <f>_xlfn.XLOOKUP(A11,'RAW DATA'!A:A,'RAW DATA'!Z:Z)</f>
        <v>0.1905</v>
      </c>
      <c r="E11" s="56">
        <f>_xlfn.XLOOKUP(A11,'RAW DATA'!A:A,'RAW DATA'!AC:AC)</f>
        <v>0.59799999999999998</v>
      </c>
      <c r="F11" s="57">
        <f>_xlfn.XLOOKUP(A11,'RAW DATA'!A:A,'RAW DATA'!AF:AF)</f>
        <v>0.26989999999999997</v>
      </c>
    </row>
    <row r="12" spans="1:10" ht="16" x14ac:dyDescent="0.8">
      <c r="A12" s="65" t="s">
        <v>195</v>
      </c>
      <c r="B12" s="55">
        <f>_xlfn.XLOOKUP(A12,'RAW DATA'!A:A,'RAW DATA'!T:T)</f>
        <v>0.12770000000000001</v>
      </c>
      <c r="C12" s="55">
        <f>_xlfn.XLOOKUP(A12,'RAW DATA'!A:A,'RAW DATA'!W:W)</f>
        <v>0.30919999999999997</v>
      </c>
      <c r="D12" s="55">
        <f>_xlfn.XLOOKUP(A12,'RAW DATA'!A:A,'RAW DATA'!Z:Z)</f>
        <v>0.2306</v>
      </c>
      <c r="E12" s="56">
        <f>_xlfn.XLOOKUP(A12,'RAW DATA'!A:A,'RAW DATA'!AC:AC)</f>
        <v>3.9199999999999999E-2</v>
      </c>
      <c r="F12" s="57">
        <f>_xlfn.XLOOKUP(A12,'RAW DATA'!A:A,'RAW DATA'!AF:AF)</f>
        <v>1.0699999999999999E-2</v>
      </c>
      <c r="J12" s="48"/>
    </row>
    <row r="13" spans="1:10" ht="16" x14ac:dyDescent="0.8">
      <c r="A13" s="65" t="s">
        <v>271</v>
      </c>
      <c r="B13" s="59">
        <f>_xlfn.XLOOKUP(A13,'RAW DATA'!A:A,'RAW DATA'!T:T)</f>
        <v>0.2646</v>
      </c>
      <c r="C13" s="59">
        <f>_xlfn.XLOOKUP(A13,'RAW DATA'!A:A,'RAW DATA'!W:W)</f>
        <v>9.7900000000000001E-2</v>
      </c>
      <c r="D13" s="59">
        <f>_xlfn.XLOOKUP(A13,'RAW DATA'!A:A,'RAW DATA'!Z:Z)</f>
        <v>0.1575</v>
      </c>
      <c r="E13" s="60">
        <f>_xlfn.XLOOKUP(A13,'RAW DATA'!A:A,'RAW DATA'!AC:AC)</f>
        <v>0.15440000000000001</v>
      </c>
      <c r="F13" s="61">
        <f>_xlfn.XLOOKUP(A13,'RAW DATA'!A:A,'RAW DATA'!AF:AF)</f>
        <v>1.7899999999999999E-2</v>
      </c>
    </row>
    <row r="16" spans="1:10" ht="29.5" x14ac:dyDescent="0.75">
      <c r="A16" s="53" t="s">
        <v>371</v>
      </c>
      <c r="C16" s="97" t="s">
        <v>336</v>
      </c>
      <c r="D16" s="98">
        <v>0.17519999999999999</v>
      </c>
      <c r="E16" s="99">
        <v>0.14940000000000001</v>
      </c>
      <c r="F16" s="6"/>
      <c r="H16" s="34"/>
    </row>
    <row r="17" spans="1:13" ht="29.5" x14ac:dyDescent="0.75">
      <c r="C17" s="97" t="s">
        <v>337</v>
      </c>
      <c r="D17" s="98">
        <v>0.17596666666666666</v>
      </c>
      <c r="E17" s="99">
        <v>0.25839999999999996</v>
      </c>
      <c r="F17" s="6"/>
    </row>
    <row r="21" spans="1:13" ht="16" x14ac:dyDescent="0.8">
      <c r="A21" s="95" t="s">
        <v>339</v>
      </c>
      <c r="B21" s="96" t="s">
        <v>15</v>
      </c>
      <c r="C21" s="96" t="s">
        <v>1</v>
      </c>
      <c r="D21" s="96" t="s">
        <v>6</v>
      </c>
      <c r="E21" s="96" t="s">
        <v>7</v>
      </c>
      <c r="F21" s="96" t="s">
        <v>8</v>
      </c>
      <c r="G21" s="96" t="s">
        <v>9</v>
      </c>
      <c r="H21" s="96" t="s">
        <v>10</v>
      </c>
      <c r="I21" s="96" t="s">
        <v>11</v>
      </c>
      <c r="J21" s="96" t="s">
        <v>12</v>
      </c>
      <c r="K21" s="96" t="s">
        <v>13</v>
      </c>
      <c r="L21" s="96" t="s">
        <v>20</v>
      </c>
      <c r="M21" s="96" t="s">
        <v>21</v>
      </c>
    </row>
    <row r="22" spans="1:13" ht="16" x14ac:dyDescent="0.8">
      <c r="A22" s="66" t="s">
        <v>298</v>
      </c>
      <c r="B22" s="67">
        <v>3342</v>
      </c>
      <c r="C22" s="68">
        <v>1</v>
      </c>
      <c r="D22" s="68">
        <v>2839</v>
      </c>
      <c r="E22" s="68">
        <v>503</v>
      </c>
      <c r="F22" s="68">
        <v>0.85370000000000001</v>
      </c>
      <c r="G22" s="69">
        <v>0</v>
      </c>
      <c r="H22" s="69">
        <v>2.9999999999999997E-4</v>
      </c>
      <c r="I22" s="69">
        <v>8.9999999999999998E-4</v>
      </c>
      <c r="J22" s="69">
        <v>0.10199999999999999</v>
      </c>
      <c r="K22" s="69">
        <v>4.3099999999999999E-2</v>
      </c>
      <c r="L22" s="69">
        <v>0.81210000000000004</v>
      </c>
      <c r="M22" s="69">
        <v>8.0999999999999996E-3</v>
      </c>
    </row>
    <row r="23" spans="1:13" ht="16" x14ac:dyDescent="0.8">
      <c r="A23" s="66" t="s">
        <v>175</v>
      </c>
      <c r="B23" s="67">
        <v>22905</v>
      </c>
      <c r="C23" s="68">
        <v>0.40989999999999999</v>
      </c>
      <c r="D23" s="68">
        <v>10484</v>
      </c>
      <c r="E23" s="68">
        <v>12421</v>
      </c>
      <c r="F23" s="68">
        <v>0.79159999999999997</v>
      </c>
      <c r="G23" s="69">
        <v>7.4000000000000003E-3</v>
      </c>
      <c r="H23" s="69">
        <v>1.41E-2</v>
      </c>
      <c r="I23" s="69">
        <v>4.36E-2</v>
      </c>
      <c r="J23" s="69">
        <v>0.104</v>
      </c>
      <c r="K23" s="69">
        <v>3.9300000000000002E-2</v>
      </c>
      <c r="L23" s="69">
        <v>0.32719999999999999</v>
      </c>
      <c r="M23" s="69">
        <v>4.0599999999999997E-2</v>
      </c>
    </row>
    <row r="24" spans="1:13" ht="16" x14ac:dyDescent="0.8">
      <c r="A24" s="66" t="s">
        <v>262</v>
      </c>
      <c r="B24" s="67">
        <v>5653</v>
      </c>
      <c r="C24" s="68">
        <v>0.59460000000000002</v>
      </c>
      <c r="D24" s="68">
        <v>2119</v>
      </c>
      <c r="E24" s="68">
        <v>3534</v>
      </c>
      <c r="F24" s="68">
        <v>0.76739999999999997</v>
      </c>
      <c r="G24" s="69">
        <v>1.77E-2</v>
      </c>
      <c r="H24" s="69">
        <v>1.8E-3</v>
      </c>
      <c r="I24" s="69">
        <v>5.1299999999999998E-2</v>
      </c>
      <c r="J24" s="69">
        <v>0.13</v>
      </c>
      <c r="K24" s="69">
        <v>3.1800000000000002E-2</v>
      </c>
      <c r="L24" s="69">
        <v>0.33329999999999999</v>
      </c>
      <c r="M24" s="69">
        <v>3.6799999999999999E-2</v>
      </c>
    </row>
    <row r="25" spans="1:13" ht="16" x14ac:dyDescent="0.8">
      <c r="A25" s="70"/>
      <c r="B25" s="71"/>
      <c r="C25" s="70"/>
      <c r="D25" s="70"/>
      <c r="E25" s="70"/>
      <c r="F25" s="70"/>
      <c r="G25" s="72"/>
      <c r="H25" s="72"/>
      <c r="I25" s="72"/>
      <c r="J25" s="72"/>
      <c r="K25" s="72"/>
      <c r="L25" s="72"/>
      <c r="M25" s="72"/>
    </row>
    <row r="26" spans="1:13" ht="16" x14ac:dyDescent="0.8">
      <c r="A26" s="66" t="s">
        <v>45</v>
      </c>
      <c r="B26" s="67">
        <v>392991</v>
      </c>
      <c r="C26" s="68">
        <v>0.57540000000000002</v>
      </c>
      <c r="D26" s="68">
        <v>72162</v>
      </c>
      <c r="E26" s="68">
        <v>320829</v>
      </c>
      <c r="F26" s="68">
        <v>0.61070000000000002</v>
      </c>
      <c r="G26" s="69">
        <v>2.1600000000000001E-2</v>
      </c>
      <c r="H26" s="69">
        <v>5.4999999999999997E-3</v>
      </c>
      <c r="I26" s="69">
        <v>6.1800000000000001E-2</v>
      </c>
      <c r="J26" s="69">
        <v>0.22170000000000001</v>
      </c>
      <c r="K26" s="69">
        <v>7.8700000000000006E-2</v>
      </c>
      <c r="L26" s="69">
        <v>0.3054</v>
      </c>
      <c r="M26" s="69">
        <v>3.7499999999999999E-2</v>
      </c>
    </row>
    <row r="27" spans="1:13" ht="16" x14ac:dyDescent="0.8">
      <c r="A27" s="66" t="s">
        <v>195</v>
      </c>
      <c r="B27" s="67">
        <v>15145</v>
      </c>
      <c r="C27" s="68">
        <v>1</v>
      </c>
      <c r="D27" s="68">
        <v>998</v>
      </c>
      <c r="E27" s="68">
        <v>14147</v>
      </c>
      <c r="F27" s="68">
        <v>0.66320000000000001</v>
      </c>
      <c r="G27" s="69">
        <v>8.5000000000000006E-3</v>
      </c>
      <c r="H27" s="69">
        <v>3.8999999999999998E-3</v>
      </c>
      <c r="I27" s="69">
        <v>1.5299999999999999E-2</v>
      </c>
      <c r="J27" s="69">
        <v>0.1794</v>
      </c>
      <c r="K27" s="69">
        <v>0.12970000000000001</v>
      </c>
      <c r="L27" s="69">
        <v>0.1076</v>
      </c>
      <c r="M27" s="69">
        <v>9.2899999999999996E-2</v>
      </c>
    </row>
    <row r="28" spans="1:13" ht="16" x14ac:dyDescent="0.8">
      <c r="A28" s="66" t="s">
        <v>271</v>
      </c>
      <c r="B28" s="67">
        <v>4900</v>
      </c>
      <c r="C28" s="68">
        <v>0.6069</v>
      </c>
      <c r="D28" s="68">
        <v>777</v>
      </c>
      <c r="E28" s="68">
        <v>4123</v>
      </c>
      <c r="F28" s="68">
        <v>0.68389999999999995</v>
      </c>
      <c r="G28" s="69">
        <v>1.6000000000000001E-3</v>
      </c>
      <c r="H28" s="69">
        <v>4.4999999999999997E-3</v>
      </c>
      <c r="I28" s="69">
        <v>6.4899999999999999E-2</v>
      </c>
      <c r="J28" s="69">
        <v>0.17510000000000001</v>
      </c>
      <c r="K28" s="69">
        <v>7.0000000000000007E-2</v>
      </c>
      <c r="L28" s="69">
        <v>0.25979999999999998</v>
      </c>
      <c r="M28" s="69">
        <v>7.9200000000000007E-2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D658-6EEC-47AA-80D8-A44F34012D63}">
  <dimension ref="A8:H20"/>
  <sheetViews>
    <sheetView tabSelected="1" zoomScale="81" zoomScaleNormal="100" workbookViewId="0">
      <selection activeCell="I14" sqref="I14"/>
    </sheetView>
  </sheetViews>
  <sheetFormatPr defaultRowHeight="14.75" x14ac:dyDescent="0.75"/>
  <cols>
    <col min="1" max="1" width="14.6796875" customWidth="1"/>
    <col min="2" max="2" width="18.40625" customWidth="1"/>
    <col min="3" max="3" width="14.90625" customWidth="1"/>
    <col min="4" max="4" width="17.7265625" customWidth="1"/>
    <col min="5" max="5" width="23" customWidth="1"/>
    <col min="6" max="6" width="25.90625" customWidth="1"/>
    <col min="7" max="7" width="21.40625" customWidth="1"/>
    <col min="8" max="8" width="25.04296875" customWidth="1"/>
  </cols>
  <sheetData>
    <row r="8" spans="1:7" ht="29.5" x14ac:dyDescent="0.75">
      <c r="A8" s="83" t="s">
        <v>339</v>
      </c>
      <c r="B8" s="84" t="s">
        <v>15</v>
      </c>
      <c r="C8" s="85" t="s">
        <v>22</v>
      </c>
      <c r="D8" s="84" t="s">
        <v>32</v>
      </c>
      <c r="E8" s="84" t="s">
        <v>33</v>
      </c>
      <c r="F8" s="86" t="s">
        <v>34</v>
      </c>
      <c r="G8" s="87" t="s">
        <v>368</v>
      </c>
    </row>
    <row r="9" spans="1:7" x14ac:dyDescent="0.75">
      <c r="A9" s="47" t="s">
        <v>298</v>
      </c>
      <c r="B9" s="7">
        <v>3342</v>
      </c>
      <c r="C9" s="13">
        <v>4.41</v>
      </c>
      <c r="D9" s="4">
        <v>1037</v>
      </c>
      <c r="E9" s="16">
        <v>5.0000000000000001E-3</v>
      </c>
      <c r="F9" s="45">
        <v>13.95</v>
      </c>
      <c r="G9" s="46">
        <f>F9*E9*C9*B9</f>
        <v>1027.9908449999998</v>
      </c>
    </row>
    <row r="12" spans="1:7" ht="17.25" customHeight="1" x14ac:dyDescent="0.75"/>
    <row r="13" spans="1:7" ht="17.25" customHeight="1" x14ac:dyDescent="0.75"/>
    <row r="14" spans="1:7" ht="30" customHeight="1" x14ac:dyDescent="0.75">
      <c r="A14" t="s">
        <v>339</v>
      </c>
      <c r="B14" s="39" t="s">
        <v>357</v>
      </c>
      <c r="C14" s="39" t="s">
        <v>348</v>
      </c>
      <c r="D14" s="39" t="s">
        <v>349</v>
      </c>
      <c r="E14" s="39" t="s">
        <v>350</v>
      </c>
      <c r="F14" s="40" t="s">
        <v>351</v>
      </c>
    </row>
    <row r="15" spans="1:7" x14ac:dyDescent="0.75">
      <c r="A15" s="37">
        <v>260</v>
      </c>
      <c r="B15" s="29" t="s">
        <v>352</v>
      </c>
      <c r="C15" s="30">
        <v>5.0000000000000001E-3</v>
      </c>
      <c r="D15" s="31">
        <v>1037</v>
      </c>
      <c r="E15" s="31">
        <v>1037</v>
      </c>
      <c r="F15" s="38" t="s">
        <v>353</v>
      </c>
    </row>
    <row r="16" spans="1:7" x14ac:dyDescent="0.75">
      <c r="A16" s="37">
        <v>260</v>
      </c>
      <c r="B16" s="29" t="s">
        <v>376</v>
      </c>
      <c r="C16" s="32" t="s">
        <v>354</v>
      </c>
      <c r="D16" s="31">
        <v>1037</v>
      </c>
      <c r="E16" s="100">
        <f>C9*C16*F9*B9</f>
        <v>11307.899295000001</v>
      </c>
      <c r="F16" s="101">
        <f>E16-E15</f>
        <v>10270.899295000001</v>
      </c>
    </row>
    <row r="17" spans="1:8" x14ac:dyDescent="0.75">
      <c r="A17" s="41">
        <v>260</v>
      </c>
      <c r="B17" s="42" t="s">
        <v>356</v>
      </c>
      <c r="C17" s="43" t="s">
        <v>355</v>
      </c>
      <c r="D17" s="44">
        <v>1037</v>
      </c>
      <c r="E17" s="102">
        <f>B9*C17*F9*C9</f>
        <v>21587.807744999998</v>
      </c>
      <c r="F17" s="103">
        <f>E17-E15</f>
        <v>20550.807744999998</v>
      </c>
    </row>
    <row r="20" spans="1:8" x14ac:dyDescent="0.75">
      <c r="H20" s="8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CFAA-C46B-4706-A6C8-FA74F48166FD}">
  <sheetPr codeName="Sheet4"/>
  <dimension ref="A1:AG295"/>
  <sheetViews>
    <sheetView zoomScale="69" workbookViewId="0">
      <selection activeCell="B262" sqref="B262"/>
    </sheetView>
  </sheetViews>
  <sheetFormatPr defaultRowHeight="14.75" x14ac:dyDescent="0.75"/>
  <cols>
    <col min="1" max="1" width="22.453125" bestFit="1" customWidth="1"/>
    <col min="2" max="33" width="22.7265625" customWidth="1"/>
  </cols>
  <sheetData>
    <row r="1" spans="1:33" x14ac:dyDescent="0.75">
      <c r="C1" s="9" t="s">
        <v>16</v>
      </c>
      <c r="D1" s="10"/>
      <c r="E1" s="11"/>
      <c r="F1" s="9" t="s">
        <v>17</v>
      </c>
      <c r="G1" s="11"/>
      <c r="H1" s="9" t="s">
        <v>18</v>
      </c>
      <c r="I1" s="11"/>
      <c r="J1" s="9" t="s">
        <v>19</v>
      </c>
      <c r="K1" s="10"/>
      <c r="L1" s="10"/>
      <c r="M1" s="10"/>
      <c r="N1" s="10"/>
      <c r="O1" s="11"/>
      <c r="S1" s="9" t="s">
        <v>38</v>
      </c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x14ac:dyDescent="0.75">
      <c r="A2" t="s">
        <v>0</v>
      </c>
      <c r="B2" t="s">
        <v>15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</row>
    <row r="3" spans="1:33" x14ac:dyDescent="0.75">
      <c r="A3" t="s">
        <v>39</v>
      </c>
      <c r="B3" s="1">
        <v>800283</v>
      </c>
      <c r="C3" s="2">
        <v>0.51629999999999998</v>
      </c>
      <c r="D3" s="2">
        <v>0.47049999999999997</v>
      </c>
      <c r="E3" s="2">
        <v>1.32E-2</v>
      </c>
      <c r="F3" s="1">
        <v>663273</v>
      </c>
      <c r="G3" s="1">
        <v>137010</v>
      </c>
      <c r="H3" s="1">
        <v>200909</v>
      </c>
      <c r="I3" s="1">
        <v>599374</v>
      </c>
      <c r="J3" s="2">
        <v>0.60919999999999996</v>
      </c>
      <c r="K3" s="2">
        <v>2.69E-2</v>
      </c>
      <c r="L3" s="2">
        <v>8.5000000000000006E-3</v>
      </c>
      <c r="M3" s="2">
        <v>4.3299999999999998E-2</v>
      </c>
      <c r="N3" s="2">
        <v>0.20849999999999999</v>
      </c>
      <c r="O3" s="2">
        <v>0.1036</v>
      </c>
      <c r="P3" s="2">
        <v>0.39529999999999998</v>
      </c>
      <c r="Q3" s="2">
        <v>5.1700000000000003E-2</v>
      </c>
      <c r="R3">
        <v>4.9800000000000004</v>
      </c>
      <c r="S3" s="1">
        <v>16015071</v>
      </c>
      <c r="T3" s="2">
        <v>9.5699999999999993E-2</v>
      </c>
      <c r="U3" s="3">
        <v>41.98</v>
      </c>
      <c r="V3" s="1">
        <v>5575719</v>
      </c>
      <c r="W3" s="2">
        <v>7.5399999999999995E-2</v>
      </c>
      <c r="X3" s="3">
        <v>18.55</v>
      </c>
      <c r="Y3" s="1">
        <v>2328861</v>
      </c>
      <c r="Z3" s="2">
        <v>6.7599999999999993E-2</v>
      </c>
      <c r="AA3" s="3">
        <v>8.64</v>
      </c>
      <c r="AB3" s="1">
        <v>21038826</v>
      </c>
      <c r="AC3" s="2">
        <v>0.43009999999999998</v>
      </c>
      <c r="AD3" s="3">
        <v>12.27</v>
      </c>
      <c r="AE3" s="1">
        <v>8340933</v>
      </c>
      <c r="AF3" s="2">
        <v>0.23200000000000001</v>
      </c>
      <c r="AG3" s="3">
        <v>9.02</v>
      </c>
    </row>
    <row r="4" spans="1:33" x14ac:dyDescent="0.75">
      <c r="A4" t="s">
        <v>40</v>
      </c>
      <c r="B4" s="1">
        <v>594242</v>
      </c>
      <c r="C4" s="2">
        <v>0.61580000000000001</v>
      </c>
      <c r="D4" s="2">
        <v>0.35170000000000001</v>
      </c>
      <c r="E4" s="2">
        <v>3.2500000000000001E-2</v>
      </c>
      <c r="F4" s="1">
        <v>488545</v>
      </c>
      <c r="G4" s="1">
        <v>105697</v>
      </c>
      <c r="H4" s="1">
        <v>201263</v>
      </c>
      <c r="I4" s="1">
        <v>392979</v>
      </c>
      <c r="J4" s="2">
        <v>0.67269999999999996</v>
      </c>
      <c r="K4" s="2">
        <v>5.1900000000000002E-2</v>
      </c>
      <c r="L4" s="2">
        <v>1.34E-2</v>
      </c>
      <c r="M4" s="2">
        <v>6.9000000000000006E-2</v>
      </c>
      <c r="N4" s="2">
        <v>0.14910000000000001</v>
      </c>
      <c r="O4" s="2">
        <v>4.3999999999999997E-2</v>
      </c>
      <c r="P4" s="2">
        <v>0.4451</v>
      </c>
      <c r="Q4" s="2">
        <v>1.4500000000000001E-2</v>
      </c>
      <c r="R4">
        <v>4.47</v>
      </c>
      <c r="S4" s="1">
        <v>10220696</v>
      </c>
      <c r="T4" s="2">
        <v>0.11550000000000001</v>
      </c>
      <c r="U4" s="3">
        <v>33.31</v>
      </c>
      <c r="V4" s="1">
        <v>5722793</v>
      </c>
      <c r="W4" s="2">
        <v>0.13109999999999999</v>
      </c>
      <c r="X4" s="3">
        <v>16.43</v>
      </c>
      <c r="Y4" s="1">
        <v>4198254</v>
      </c>
      <c r="Z4" s="2">
        <v>0.1807</v>
      </c>
      <c r="AA4" s="3">
        <v>8.75</v>
      </c>
      <c r="AB4" s="1">
        <v>3697070</v>
      </c>
      <c r="AC4" s="2">
        <v>0.1201</v>
      </c>
      <c r="AD4" s="3">
        <v>11.59</v>
      </c>
      <c r="AE4" s="1">
        <v>5737212</v>
      </c>
      <c r="AF4" s="2">
        <v>0.15840000000000001</v>
      </c>
      <c r="AG4" s="3">
        <v>13.63</v>
      </c>
    </row>
    <row r="5" spans="1:33" x14ac:dyDescent="0.75">
      <c r="A5" t="s">
        <v>41</v>
      </c>
      <c r="B5" s="1">
        <v>571216</v>
      </c>
      <c r="C5" s="2">
        <v>0.55069999999999997</v>
      </c>
      <c r="D5" s="2">
        <v>0.41489999999999999</v>
      </c>
      <c r="E5" s="2">
        <v>3.4500000000000003E-2</v>
      </c>
      <c r="F5" s="1">
        <v>552698</v>
      </c>
      <c r="G5" s="1">
        <v>18518</v>
      </c>
      <c r="H5" s="1">
        <v>205657</v>
      </c>
      <c r="I5" s="1">
        <v>365559</v>
      </c>
      <c r="J5" s="2">
        <v>0.6</v>
      </c>
      <c r="K5" s="2">
        <v>3.09E-2</v>
      </c>
      <c r="L5" s="2">
        <v>2.9399999999999999E-2</v>
      </c>
      <c r="M5" s="2">
        <v>5.4699999999999999E-2</v>
      </c>
      <c r="N5" s="2">
        <v>0.25369999999999998</v>
      </c>
      <c r="O5" s="2">
        <v>3.1300000000000001E-2</v>
      </c>
      <c r="P5" s="2">
        <v>0.49419999999999997</v>
      </c>
      <c r="Q5" s="2">
        <v>1.6799999999999999E-2</v>
      </c>
      <c r="R5">
        <v>3.83</v>
      </c>
      <c r="S5" s="1">
        <v>9391543</v>
      </c>
      <c r="T5" s="2">
        <v>9.8799999999999999E-2</v>
      </c>
      <c r="U5" s="3">
        <v>43.51</v>
      </c>
      <c r="V5" s="1">
        <v>2408080</v>
      </c>
      <c r="W5" s="2">
        <v>5.0099999999999999E-2</v>
      </c>
      <c r="X5" s="3">
        <v>21.98</v>
      </c>
      <c r="Y5" s="1">
        <v>1144434</v>
      </c>
      <c r="Z5" s="2">
        <v>5.7500000000000002E-2</v>
      </c>
      <c r="AA5" s="3">
        <v>9.11</v>
      </c>
      <c r="AB5" s="1">
        <v>4364174</v>
      </c>
      <c r="AC5" s="2">
        <v>0.16300000000000001</v>
      </c>
      <c r="AD5" s="3">
        <v>12.25</v>
      </c>
      <c r="AE5" s="1">
        <v>4144535</v>
      </c>
      <c r="AF5" s="2">
        <v>0.15340000000000001</v>
      </c>
      <c r="AG5" s="3">
        <v>12.37</v>
      </c>
    </row>
    <row r="6" spans="1:33" x14ac:dyDescent="0.75">
      <c r="A6" t="s">
        <v>42</v>
      </c>
      <c r="B6" s="1">
        <v>528774</v>
      </c>
      <c r="C6" s="2">
        <v>0.53790000000000004</v>
      </c>
      <c r="D6" s="2">
        <v>0.39019999999999999</v>
      </c>
      <c r="E6" s="2">
        <v>7.1900000000000006E-2</v>
      </c>
      <c r="F6" s="1">
        <v>508432</v>
      </c>
      <c r="G6" s="1">
        <v>20342</v>
      </c>
      <c r="H6" s="1">
        <v>185830</v>
      </c>
      <c r="I6" s="1">
        <v>342944</v>
      </c>
      <c r="J6" s="2">
        <v>0.61780000000000002</v>
      </c>
      <c r="K6" s="2">
        <v>5.04E-2</v>
      </c>
      <c r="L6" s="2">
        <v>1.24E-2</v>
      </c>
      <c r="M6" s="2">
        <v>7.2400000000000006E-2</v>
      </c>
      <c r="N6" s="2">
        <v>0.20449999999999999</v>
      </c>
      <c r="O6" s="2">
        <v>4.24E-2</v>
      </c>
      <c r="P6" s="2">
        <v>0.46029999999999999</v>
      </c>
      <c r="Q6" s="2">
        <v>2.4899999999999999E-2</v>
      </c>
      <c r="R6">
        <v>4.07</v>
      </c>
      <c r="S6" s="1">
        <v>9658629</v>
      </c>
      <c r="T6" s="2">
        <v>0.1084</v>
      </c>
      <c r="U6" s="3">
        <v>41.41</v>
      </c>
      <c r="V6" s="1">
        <v>1907658</v>
      </c>
      <c r="W6" s="2">
        <v>4.24E-2</v>
      </c>
      <c r="X6" s="3">
        <v>20.89</v>
      </c>
      <c r="Y6" s="1">
        <v>799586</v>
      </c>
      <c r="Z6" s="2">
        <v>4.1200000000000001E-2</v>
      </c>
      <c r="AA6" s="3">
        <v>9.02</v>
      </c>
      <c r="AB6" s="1">
        <v>65509</v>
      </c>
      <c r="AC6" s="2">
        <v>2.3999999999999998E-3</v>
      </c>
      <c r="AD6" s="3">
        <v>12.75</v>
      </c>
      <c r="AE6" s="1">
        <v>3104480</v>
      </c>
      <c r="AF6" s="2">
        <v>0.1183</v>
      </c>
      <c r="AG6" s="3">
        <v>12.19</v>
      </c>
    </row>
    <row r="7" spans="1:33" x14ac:dyDescent="0.75">
      <c r="A7" t="s">
        <v>43</v>
      </c>
      <c r="B7" s="1">
        <v>450581</v>
      </c>
      <c r="C7" s="2">
        <v>0.65839999999999999</v>
      </c>
      <c r="D7" s="2">
        <v>0.31390000000000001</v>
      </c>
      <c r="E7" s="2">
        <v>2.7699999999999999E-2</v>
      </c>
      <c r="F7" s="1">
        <v>424505</v>
      </c>
      <c r="G7" s="1">
        <v>26076</v>
      </c>
      <c r="H7" s="1">
        <v>208817</v>
      </c>
      <c r="I7" s="1">
        <v>241764</v>
      </c>
      <c r="J7" s="2">
        <v>0.7036</v>
      </c>
      <c r="K7" s="2">
        <v>0.03</v>
      </c>
      <c r="L7" s="2">
        <v>2.2800000000000001E-2</v>
      </c>
      <c r="M7" s="2">
        <v>6.0999999999999999E-2</v>
      </c>
      <c r="N7" s="2">
        <v>0.14710000000000001</v>
      </c>
      <c r="O7" s="2">
        <v>3.56E-2</v>
      </c>
      <c r="P7" s="2">
        <v>0.51980000000000004</v>
      </c>
      <c r="Q7" s="2">
        <v>4.4200000000000003E-2</v>
      </c>
      <c r="R7">
        <v>3.51</v>
      </c>
      <c r="S7" s="1">
        <v>6341246</v>
      </c>
      <c r="T7" s="2">
        <v>9.4200000000000006E-2</v>
      </c>
      <c r="U7" s="3">
        <v>42.57</v>
      </c>
      <c r="V7" s="1">
        <v>2642410</v>
      </c>
      <c r="W7" s="2">
        <v>8.0299999999999996E-2</v>
      </c>
      <c r="X7" s="3">
        <v>20.81</v>
      </c>
      <c r="Y7" s="1">
        <v>1048603</v>
      </c>
      <c r="Z7" s="2">
        <v>7.1400000000000005E-2</v>
      </c>
      <c r="AA7" s="3">
        <v>9.3000000000000007</v>
      </c>
      <c r="AB7" s="1">
        <v>6077627</v>
      </c>
      <c r="AC7" s="2">
        <v>0.28079999999999999</v>
      </c>
      <c r="AD7" s="3">
        <v>13.69</v>
      </c>
      <c r="AE7" s="1">
        <v>2434746</v>
      </c>
      <c r="AF7" s="2">
        <v>0.12640000000000001</v>
      </c>
      <c r="AG7" s="3">
        <v>12.18</v>
      </c>
    </row>
    <row r="8" spans="1:33" x14ac:dyDescent="0.75">
      <c r="A8" t="s">
        <v>44</v>
      </c>
      <c r="B8" s="1">
        <v>410451</v>
      </c>
      <c r="C8" s="2">
        <v>0.64470000000000005</v>
      </c>
      <c r="D8" s="2">
        <v>0.3553</v>
      </c>
      <c r="E8" s="2">
        <v>0</v>
      </c>
      <c r="F8" s="1">
        <v>344086</v>
      </c>
      <c r="G8" s="1">
        <v>66365</v>
      </c>
      <c r="H8" s="1">
        <v>171508</v>
      </c>
      <c r="I8" s="1">
        <v>238943</v>
      </c>
      <c r="J8" s="2">
        <v>0.70089999999999997</v>
      </c>
      <c r="K8" s="2">
        <v>4.5699999999999998E-2</v>
      </c>
      <c r="L8" s="2">
        <v>1.5599999999999999E-2</v>
      </c>
      <c r="M8" s="2">
        <v>5.9200000000000003E-2</v>
      </c>
      <c r="N8" s="2">
        <v>0.14069999999999999</v>
      </c>
      <c r="O8" s="2">
        <v>3.7900000000000003E-2</v>
      </c>
      <c r="P8" s="2">
        <v>0.50880000000000003</v>
      </c>
      <c r="Q8" s="2">
        <v>2.1399999999999999E-2</v>
      </c>
      <c r="R8">
        <v>4.59</v>
      </c>
      <c r="S8" s="1">
        <v>4617389</v>
      </c>
      <c r="T8" s="2">
        <v>7.3899999999999993E-2</v>
      </c>
      <c r="U8" s="3">
        <v>33.200000000000003</v>
      </c>
      <c r="V8" s="1">
        <v>1995409</v>
      </c>
      <c r="W8" s="2">
        <v>6.4299999999999996E-2</v>
      </c>
      <c r="X8" s="3">
        <v>16.47</v>
      </c>
      <c r="Y8" s="1">
        <v>864763</v>
      </c>
      <c r="Z8" s="2">
        <v>5.3100000000000001E-2</v>
      </c>
      <c r="AA8" s="3">
        <v>8.64</v>
      </c>
      <c r="AB8" s="1">
        <v>5035438</v>
      </c>
      <c r="AC8" s="2">
        <v>0.21820000000000001</v>
      </c>
      <c r="AD8" s="3">
        <v>12.26</v>
      </c>
      <c r="AE8" s="1">
        <v>3047498</v>
      </c>
      <c r="AF8" s="2">
        <v>0.1013</v>
      </c>
      <c r="AG8" s="3">
        <v>15.98</v>
      </c>
    </row>
    <row r="9" spans="1:33" x14ac:dyDescent="0.75">
      <c r="A9" t="s">
        <v>45</v>
      </c>
      <c r="B9" s="1">
        <v>392991</v>
      </c>
      <c r="C9" s="2">
        <v>0.57540000000000002</v>
      </c>
      <c r="D9" s="2">
        <v>0.41849999999999998</v>
      </c>
      <c r="E9" s="2">
        <v>6.1000000000000004E-3</v>
      </c>
      <c r="F9" s="1">
        <v>232191</v>
      </c>
      <c r="G9" s="1">
        <v>160800</v>
      </c>
      <c r="H9" s="1">
        <v>72162</v>
      </c>
      <c r="I9" s="1">
        <v>320829</v>
      </c>
      <c r="J9" s="2">
        <v>0.61070000000000002</v>
      </c>
      <c r="K9" s="2">
        <v>2.1600000000000001E-2</v>
      </c>
      <c r="L9" s="2">
        <v>5.4999999999999997E-3</v>
      </c>
      <c r="M9" s="2">
        <v>6.1800000000000001E-2</v>
      </c>
      <c r="N9" s="2">
        <v>0.22170000000000001</v>
      </c>
      <c r="O9" s="2">
        <v>7.8700000000000006E-2</v>
      </c>
      <c r="P9" s="2">
        <v>0.3054</v>
      </c>
      <c r="Q9" s="2">
        <v>3.7499999999999999E-2</v>
      </c>
      <c r="R9">
        <v>5.19</v>
      </c>
      <c r="S9" s="1">
        <v>6164283</v>
      </c>
      <c r="T9" s="2">
        <v>7.2700000000000001E-2</v>
      </c>
      <c r="U9" s="3">
        <v>41.56</v>
      </c>
      <c r="V9" s="1">
        <v>3728640</v>
      </c>
      <c r="W9" s="2">
        <v>9.69E-2</v>
      </c>
      <c r="X9" s="3">
        <v>18.86</v>
      </c>
      <c r="Y9" s="1">
        <v>3360430</v>
      </c>
      <c r="Z9" s="2">
        <v>0.1905</v>
      </c>
      <c r="AA9" s="3">
        <v>8.64</v>
      </c>
      <c r="AB9" s="1">
        <v>14554029</v>
      </c>
      <c r="AC9" s="2">
        <v>0.59799999999999998</v>
      </c>
      <c r="AD9" s="3">
        <v>11.93</v>
      </c>
      <c r="AE9" s="1">
        <v>4161703</v>
      </c>
      <c r="AF9" s="2">
        <v>0.26989999999999997</v>
      </c>
      <c r="AG9" s="3">
        <v>7.56</v>
      </c>
    </row>
    <row r="10" spans="1:33" x14ac:dyDescent="0.75">
      <c r="A10" t="s">
        <v>46</v>
      </c>
      <c r="B10" s="1">
        <v>378538</v>
      </c>
      <c r="C10" s="2">
        <v>0.6321</v>
      </c>
      <c r="D10" s="2">
        <v>0.3463</v>
      </c>
      <c r="E10" s="2">
        <v>2.1600000000000001E-2</v>
      </c>
      <c r="F10" s="1">
        <v>346824</v>
      </c>
      <c r="G10" s="1">
        <v>31714</v>
      </c>
      <c r="H10" s="1">
        <v>157606</v>
      </c>
      <c r="I10" s="1">
        <v>220932</v>
      </c>
      <c r="J10" s="2">
        <v>0.68220000000000003</v>
      </c>
      <c r="K10" s="2">
        <v>2.86E-2</v>
      </c>
      <c r="L10" s="2">
        <v>1.35E-2</v>
      </c>
      <c r="M10" s="2">
        <v>6.4899999999999999E-2</v>
      </c>
      <c r="N10" s="2">
        <v>0.1681</v>
      </c>
      <c r="O10" s="2">
        <v>4.2700000000000002E-2</v>
      </c>
      <c r="P10" s="2">
        <v>0.5252</v>
      </c>
      <c r="Q10" s="2">
        <v>2.3E-2</v>
      </c>
      <c r="R10">
        <v>3.47</v>
      </c>
      <c r="S10" s="1">
        <v>4811379</v>
      </c>
      <c r="T10" s="2">
        <v>8.77E-2</v>
      </c>
      <c r="U10" s="3">
        <v>41.78</v>
      </c>
      <c r="V10" s="1">
        <v>1308448</v>
      </c>
      <c r="W10" s="2">
        <v>5.0999999999999997E-2</v>
      </c>
      <c r="X10" s="3">
        <v>19.55</v>
      </c>
      <c r="Y10" s="1">
        <v>1245995</v>
      </c>
      <c r="Z10" s="2">
        <v>0.1016</v>
      </c>
      <c r="AA10" s="3">
        <v>9.34</v>
      </c>
      <c r="AB10" s="1">
        <v>4177359</v>
      </c>
      <c r="AC10" s="2">
        <v>0.26029999999999998</v>
      </c>
      <c r="AD10" s="3">
        <v>12.23</v>
      </c>
      <c r="AE10" s="1">
        <v>3797907</v>
      </c>
      <c r="AF10" s="2">
        <v>0.19650000000000001</v>
      </c>
      <c r="AG10" s="3">
        <v>14.72</v>
      </c>
    </row>
    <row r="11" spans="1:33" x14ac:dyDescent="0.75">
      <c r="A11" t="s">
        <v>47</v>
      </c>
      <c r="B11" s="1">
        <v>371306</v>
      </c>
      <c r="C11" s="2">
        <v>0.58560000000000001</v>
      </c>
      <c r="D11" s="2">
        <v>0.37519999999999998</v>
      </c>
      <c r="E11" s="2">
        <v>3.9100000000000003E-2</v>
      </c>
      <c r="F11" s="1">
        <v>354225</v>
      </c>
      <c r="G11" s="1">
        <v>17081</v>
      </c>
      <c r="H11" s="1">
        <v>156987</v>
      </c>
      <c r="I11" s="1">
        <v>214319</v>
      </c>
      <c r="J11" s="2">
        <v>0.69489999999999996</v>
      </c>
      <c r="K11" s="2">
        <v>4.0599999999999997E-2</v>
      </c>
      <c r="L11" s="2">
        <v>2.7400000000000001E-2</v>
      </c>
      <c r="M11" s="2">
        <v>5.6300000000000003E-2</v>
      </c>
      <c r="N11" s="2">
        <v>0.12859999999999999</v>
      </c>
      <c r="O11" s="2">
        <v>5.2200000000000003E-2</v>
      </c>
      <c r="P11" s="2">
        <v>0.46100000000000002</v>
      </c>
      <c r="Q11" s="2">
        <v>2.75E-2</v>
      </c>
      <c r="R11">
        <v>4.5</v>
      </c>
      <c r="S11" s="1">
        <v>6647499</v>
      </c>
      <c r="T11" s="2">
        <v>0.10290000000000001</v>
      </c>
      <c r="U11" s="3">
        <v>38.67</v>
      </c>
      <c r="V11" s="1">
        <v>2390154</v>
      </c>
      <c r="W11" s="2">
        <v>9.0999999999999998E-2</v>
      </c>
      <c r="X11" s="3">
        <v>15.72</v>
      </c>
      <c r="Y11" s="1">
        <v>764385</v>
      </c>
      <c r="Z11" s="2">
        <v>5.1499999999999997E-2</v>
      </c>
      <c r="AA11" s="3">
        <v>8.89</v>
      </c>
      <c r="AB11" s="1">
        <v>1526231</v>
      </c>
      <c r="AC11" s="2">
        <v>8.0399999999999999E-2</v>
      </c>
      <c r="AD11" s="3">
        <v>11.36</v>
      </c>
      <c r="AE11" s="1">
        <v>2174223</v>
      </c>
      <c r="AF11" s="2">
        <v>7.8899999999999998E-2</v>
      </c>
      <c r="AG11" s="3">
        <v>16.489999999999998</v>
      </c>
    </row>
    <row r="12" spans="1:33" x14ac:dyDescent="0.75">
      <c r="A12" t="s">
        <v>48</v>
      </c>
      <c r="B12" s="1">
        <v>368051</v>
      </c>
      <c r="C12" s="2">
        <v>0.57920000000000005</v>
      </c>
      <c r="D12" s="2">
        <v>0.4078</v>
      </c>
      <c r="E12" s="2">
        <v>1.2999999999999999E-2</v>
      </c>
      <c r="F12" s="1">
        <v>334981</v>
      </c>
      <c r="G12" s="1">
        <v>33070</v>
      </c>
      <c r="H12" s="1">
        <v>132733</v>
      </c>
      <c r="I12" s="1">
        <v>235318</v>
      </c>
      <c r="J12" s="2">
        <v>0.69289999999999996</v>
      </c>
      <c r="K12" s="2">
        <v>1.4500000000000001E-2</v>
      </c>
      <c r="L12" s="2">
        <v>1.49E-2</v>
      </c>
      <c r="M12" s="2">
        <v>5.33E-2</v>
      </c>
      <c r="N12" s="2">
        <v>0.182</v>
      </c>
      <c r="O12" s="2">
        <v>4.2500000000000003E-2</v>
      </c>
      <c r="P12" s="2">
        <v>0.48230000000000001</v>
      </c>
      <c r="Q12" s="2">
        <v>1.4800000000000001E-2</v>
      </c>
      <c r="R12">
        <v>4.3</v>
      </c>
      <c r="S12" s="1">
        <v>6626531</v>
      </c>
      <c r="T12" s="2">
        <v>0.1119</v>
      </c>
      <c r="U12" s="3">
        <v>37.409999999999997</v>
      </c>
      <c r="V12" s="1">
        <v>2062361</v>
      </c>
      <c r="W12" s="2">
        <v>6.7699999999999996E-2</v>
      </c>
      <c r="X12" s="3">
        <v>19.25</v>
      </c>
      <c r="Y12" s="1">
        <v>1215292</v>
      </c>
      <c r="Z12" s="2">
        <v>8.4900000000000003E-2</v>
      </c>
      <c r="AA12" s="3">
        <v>9.0500000000000007</v>
      </c>
      <c r="AB12" s="1">
        <v>5849853</v>
      </c>
      <c r="AC12" s="2">
        <v>0.25340000000000001</v>
      </c>
      <c r="AD12" s="3">
        <v>14.59</v>
      </c>
      <c r="AE12" s="1">
        <v>2597552</v>
      </c>
      <c r="AF12" s="2">
        <v>0.1242</v>
      </c>
      <c r="AG12" s="3">
        <v>13.22</v>
      </c>
    </row>
    <row r="13" spans="1:33" x14ac:dyDescent="0.75">
      <c r="A13" t="s">
        <v>49</v>
      </c>
      <c r="B13" s="1">
        <v>357616</v>
      </c>
      <c r="C13" s="2">
        <v>0.49690000000000001</v>
      </c>
      <c r="D13" s="2">
        <v>0.4955</v>
      </c>
      <c r="E13" s="2">
        <v>7.6E-3</v>
      </c>
      <c r="F13" s="1">
        <v>304350</v>
      </c>
      <c r="G13" s="1">
        <v>53266</v>
      </c>
      <c r="H13" s="1">
        <v>81952</v>
      </c>
      <c r="I13" s="1">
        <v>275664</v>
      </c>
      <c r="J13" s="2">
        <v>0.60270000000000001</v>
      </c>
      <c r="K13" s="2">
        <v>2.5499999999999998E-2</v>
      </c>
      <c r="L13" s="2">
        <v>7.6E-3</v>
      </c>
      <c r="M13" s="2">
        <v>6.0999999999999999E-2</v>
      </c>
      <c r="N13" s="2">
        <v>0.22600000000000001</v>
      </c>
      <c r="O13" s="2">
        <v>7.7200000000000005E-2</v>
      </c>
      <c r="P13" s="2">
        <v>0.3952</v>
      </c>
      <c r="Q13" s="2">
        <v>4.6600000000000003E-2</v>
      </c>
      <c r="R13">
        <v>4.4800000000000004</v>
      </c>
      <c r="S13" s="1">
        <v>4980069</v>
      </c>
      <c r="T13" s="2">
        <v>7.5800000000000006E-2</v>
      </c>
      <c r="U13" s="3">
        <v>40.96</v>
      </c>
      <c r="V13" s="1">
        <v>2445987</v>
      </c>
      <c r="W13" s="2">
        <v>8.0500000000000002E-2</v>
      </c>
      <c r="X13" s="3">
        <v>18.940000000000001</v>
      </c>
      <c r="Y13" s="1">
        <v>342489</v>
      </c>
      <c r="Z13" s="2">
        <v>2.3900000000000001E-2</v>
      </c>
      <c r="AA13" s="3">
        <v>8.9499999999999993</v>
      </c>
      <c r="AB13" s="1">
        <v>5016547</v>
      </c>
      <c r="AC13" s="2">
        <v>0.24560000000000001</v>
      </c>
      <c r="AD13" s="3">
        <v>12.74</v>
      </c>
      <c r="AE13" s="1">
        <v>1795200</v>
      </c>
      <c r="AF13" s="2">
        <v>0.1181</v>
      </c>
      <c r="AG13" s="3">
        <v>9.48</v>
      </c>
    </row>
    <row r="14" spans="1:33" x14ac:dyDescent="0.75">
      <c r="A14" t="s">
        <v>50</v>
      </c>
      <c r="B14" s="1">
        <v>355996</v>
      </c>
      <c r="C14" s="2">
        <v>0.50790000000000002</v>
      </c>
      <c r="D14" s="2">
        <v>0.47949999999999998</v>
      </c>
      <c r="E14" s="2">
        <v>1.2699999999999999E-2</v>
      </c>
      <c r="F14" s="1">
        <v>329927</v>
      </c>
      <c r="G14" s="1">
        <v>26069</v>
      </c>
      <c r="H14" s="1">
        <v>95783</v>
      </c>
      <c r="I14" s="1">
        <v>260213</v>
      </c>
      <c r="J14" s="2">
        <v>0.63119999999999998</v>
      </c>
      <c r="K14" s="2">
        <v>2.7400000000000001E-2</v>
      </c>
      <c r="L14" s="2">
        <v>1.12E-2</v>
      </c>
      <c r="M14" s="2">
        <v>4.6399999999999997E-2</v>
      </c>
      <c r="N14" s="2">
        <v>0.21940000000000001</v>
      </c>
      <c r="O14" s="2">
        <v>6.4199999999999993E-2</v>
      </c>
      <c r="P14" s="2">
        <v>0.43609999999999999</v>
      </c>
      <c r="Q14" s="2">
        <v>2.3099999999999999E-2</v>
      </c>
      <c r="R14">
        <v>4.7300000000000004</v>
      </c>
      <c r="S14" s="1">
        <v>6794008</v>
      </c>
      <c r="T14" s="2">
        <v>9.5100000000000004E-2</v>
      </c>
      <c r="U14" s="3">
        <v>42.43</v>
      </c>
      <c r="V14" s="1">
        <v>2424339</v>
      </c>
      <c r="W14" s="2">
        <v>7.7299999999999994E-2</v>
      </c>
      <c r="X14" s="3">
        <v>18.63</v>
      </c>
      <c r="Y14" s="1">
        <v>506332</v>
      </c>
      <c r="Z14" s="2">
        <v>3.4099999999999998E-2</v>
      </c>
      <c r="AA14" s="3">
        <v>8.82</v>
      </c>
      <c r="AB14" s="1">
        <v>3442174</v>
      </c>
      <c r="AC14" s="2">
        <v>0.1628</v>
      </c>
      <c r="AD14" s="3">
        <v>12.56</v>
      </c>
      <c r="AE14" s="1">
        <v>2828629</v>
      </c>
      <c r="AF14" s="2">
        <v>0.18049999999999999</v>
      </c>
      <c r="AG14" s="3">
        <v>9.31</v>
      </c>
    </row>
    <row r="15" spans="1:33" x14ac:dyDescent="0.75">
      <c r="A15" t="s">
        <v>51</v>
      </c>
      <c r="B15" s="1">
        <v>344473</v>
      </c>
      <c r="C15" s="2">
        <v>0.97860000000000003</v>
      </c>
      <c r="D15" s="2">
        <v>0</v>
      </c>
      <c r="E15" s="2">
        <v>2.1399999999999999E-2</v>
      </c>
      <c r="F15" s="1">
        <v>329673</v>
      </c>
      <c r="G15" s="1">
        <v>14800</v>
      </c>
      <c r="H15" s="1">
        <v>166237</v>
      </c>
      <c r="I15" s="1">
        <v>178236</v>
      </c>
      <c r="J15" s="2">
        <v>0.70189999999999997</v>
      </c>
      <c r="K15" s="2">
        <v>2.46E-2</v>
      </c>
      <c r="L15" s="2">
        <v>2.0400000000000001E-2</v>
      </c>
      <c r="M15" s="2">
        <v>5.74E-2</v>
      </c>
      <c r="N15" s="2">
        <v>0.15540000000000001</v>
      </c>
      <c r="O15" s="2">
        <v>4.0300000000000002E-2</v>
      </c>
      <c r="P15" s="2">
        <v>0.5786</v>
      </c>
      <c r="Q15" s="2">
        <v>3.2099999999999997E-2</v>
      </c>
      <c r="R15">
        <v>3.74</v>
      </c>
      <c r="S15" s="1">
        <v>5835719</v>
      </c>
      <c r="T15" s="2">
        <v>0.1229</v>
      </c>
      <c r="U15" s="3">
        <v>36.81</v>
      </c>
      <c r="V15" s="1">
        <v>1388688</v>
      </c>
      <c r="W15" s="2">
        <v>6.2E-2</v>
      </c>
      <c r="X15" s="3">
        <v>17.37</v>
      </c>
      <c r="Y15" s="1">
        <v>925752</v>
      </c>
      <c r="Z15" s="2">
        <v>7.6100000000000001E-2</v>
      </c>
      <c r="AA15" s="3">
        <v>9.44</v>
      </c>
      <c r="AB15" s="1">
        <v>645191</v>
      </c>
      <c r="AC15" s="2">
        <v>4.2299999999999997E-2</v>
      </c>
      <c r="AD15" s="3">
        <v>11.83</v>
      </c>
      <c r="AE15" s="1">
        <v>2649065</v>
      </c>
      <c r="AF15" s="2">
        <v>0.16700000000000001</v>
      </c>
      <c r="AG15" s="3">
        <v>12.3</v>
      </c>
    </row>
    <row r="16" spans="1:33" x14ac:dyDescent="0.75">
      <c r="A16" t="s">
        <v>52</v>
      </c>
      <c r="B16" s="1">
        <v>321773</v>
      </c>
      <c r="C16" s="2">
        <v>0.5534</v>
      </c>
      <c r="D16" s="2">
        <v>0.4466</v>
      </c>
      <c r="E16" s="2">
        <v>0</v>
      </c>
      <c r="F16" s="1">
        <v>304355</v>
      </c>
      <c r="G16" s="1">
        <v>17418</v>
      </c>
      <c r="H16" s="1">
        <v>122789</v>
      </c>
      <c r="I16" s="1">
        <v>198984</v>
      </c>
      <c r="J16" s="2">
        <v>0.68910000000000005</v>
      </c>
      <c r="K16" s="2">
        <v>3.5099999999999999E-2</v>
      </c>
      <c r="L16" s="2">
        <v>9.1999999999999998E-3</v>
      </c>
      <c r="M16" s="2">
        <v>5.91E-2</v>
      </c>
      <c r="N16" s="2">
        <v>0.16300000000000001</v>
      </c>
      <c r="O16" s="2">
        <v>4.4400000000000002E-2</v>
      </c>
      <c r="P16" s="2">
        <v>0.45929999999999999</v>
      </c>
      <c r="Q16" s="2">
        <v>3.7100000000000001E-2</v>
      </c>
      <c r="R16">
        <v>4.4800000000000004</v>
      </c>
      <c r="S16" s="1">
        <v>7932014</v>
      </c>
      <c r="T16" s="2">
        <v>0.16039999999999999</v>
      </c>
      <c r="U16" s="3">
        <v>34.270000000000003</v>
      </c>
      <c r="V16" s="1">
        <v>2318688</v>
      </c>
      <c r="W16" s="2">
        <v>9.6299999999999997E-2</v>
      </c>
      <c r="X16" s="3">
        <v>16.68</v>
      </c>
      <c r="Y16" s="1">
        <v>1119561</v>
      </c>
      <c r="Z16" s="2">
        <v>8.4599999999999995E-2</v>
      </c>
      <c r="AA16" s="3">
        <v>9.17</v>
      </c>
      <c r="AB16" s="1">
        <v>317458</v>
      </c>
      <c r="AC16" s="2">
        <v>1.7500000000000002E-2</v>
      </c>
      <c r="AD16" s="3">
        <v>12.57</v>
      </c>
      <c r="AE16" s="1">
        <v>1410828</v>
      </c>
      <c r="AF16" s="2">
        <v>5.3600000000000002E-2</v>
      </c>
      <c r="AG16" s="3">
        <v>18.239999999999998</v>
      </c>
    </row>
    <row r="17" spans="1:33" x14ac:dyDescent="0.75">
      <c r="A17" t="s">
        <v>53</v>
      </c>
      <c r="B17" s="1">
        <v>299521</v>
      </c>
      <c r="C17" s="2">
        <v>0.5827</v>
      </c>
      <c r="D17" s="2">
        <v>0.38529999999999998</v>
      </c>
      <c r="E17" s="2">
        <v>3.2000000000000001E-2</v>
      </c>
      <c r="F17" s="1">
        <v>289542</v>
      </c>
      <c r="G17" s="1">
        <v>9979</v>
      </c>
      <c r="H17" s="1">
        <v>120783</v>
      </c>
      <c r="I17" s="1">
        <v>178738</v>
      </c>
      <c r="J17" s="2">
        <v>0.66210000000000002</v>
      </c>
      <c r="K17" s="2">
        <v>2.7799999999999998E-2</v>
      </c>
      <c r="L17" s="2">
        <v>1.6299999999999999E-2</v>
      </c>
      <c r="M17" s="2">
        <v>7.51E-2</v>
      </c>
      <c r="N17" s="2">
        <v>0.18099999999999999</v>
      </c>
      <c r="O17" s="2">
        <v>3.7600000000000001E-2</v>
      </c>
      <c r="P17" s="2">
        <v>0.47120000000000001</v>
      </c>
      <c r="Q17" s="2">
        <v>2.1399999999999999E-2</v>
      </c>
      <c r="R17">
        <v>3.77</v>
      </c>
      <c r="S17" s="1">
        <v>3750024</v>
      </c>
      <c r="T17" s="2">
        <v>8.2299999999999998E-2</v>
      </c>
      <c r="U17" s="3">
        <v>40.299999999999997</v>
      </c>
      <c r="V17" s="1">
        <v>970475</v>
      </c>
      <c r="W17" s="2">
        <v>4.53E-2</v>
      </c>
      <c r="X17" s="3">
        <v>18.96</v>
      </c>
      <c r="Y17" s="1">
        <v>359682</v>
      </c>
      <c r="Z17" s="2">
        <v>3.49E-2</v>
      </c>
      <c r="AA17" s="3">
        <v>9.11</v>
      </c>
      <c r="AB17" s="1">
        <v>117240</v>
      </c>
      <c r="AC17" s="2">
        <v>8.3999999999999995E-3</v>
      </c>
      <c r="AD17" s="3">
        <v>12.31</v>
      </c>
      <c r="AE17" s="1">
        <v>1131709</v>
      </c>
      <c r="AF17" s="2">
        <v>7.2900000000000006E-2</v>
      </c>
      <c r="AG17" s="3">
        <v>13.73</v>
      </c>
    </row>
    <row r="18" spans="1:33" x14ac:dyDescent="0.75">
      <c r="A18" t="s">
        <v>54</v>
      </c>
      <c r="B18" s="1">
        <v>294903</v>
      </c>
      <c r="C18" s="2">
        <v>0.64500000000000002</v>
      </c>
      <c r="D18" s="2">
        <v>0.33439999999999998</v>
      </c>
      <c r="E18" s="2">
        <v>2.06E-2</v>
      </c>
      <c r="F18" s="1">
        <v>265815</v>
      </c>
      <c r="G18" s="1">
        <v>29088</v>
      </c>
      <c r="H18" s="1">
        <v>116501</v>
      </c>
      <c r="I18" s="1">
        <v>178402</v>
      </c>
      <c r="J18" s="2">
        <v>0.6885</v>
      </c>
      <c r="K18" s="2">
        <v>4.4900000000000002E-2</v>
      </c>
      <c r="L18" s="2">
        <v>1.83E-2</v>
      </c>
      <c r="M18" s="2">
        <v>5.1799999999999999E-2</v>
      </c>
      <c r="N18" s="2">
        <v>0.16</v>
      </c>
      <c r="O18" s="2">
        <v>3.6400000000000002E-2</v>
      </c>
      <c r="P18" s="2">
        <v>0.46820000000000001</v>
      </c>
      <c r="Q18" s="2">
        <v>4.2999999999999997E-2</v>
      </c>
      <c r="R18">
        <v>3.79</v>
      </c>
      <c r="S18" s="1">
        <v>5027075</v>
      </c>
      <c r="T18" s="2">
        <v>0.1124</v>
      </c>
      <c r="U18" s="3">
        <v>39.97</v>
      </c>
      <c r="V18" s="1">
        <v>1800188</v>
      </c>
      <c r="W18" s="2">
        <v>7.7799999999999994E-2</v>
      </c>
      <c r="X18" s="3">
        <v>20.69</v>
      </c>
      <c r="Y18" s="1">
        <v>1030705</v>
      </c>
      <c r="Z18" s="2">
        <v>0.1014</v>
      </c>
      <c r="AA18" s="3">
        <v>9.09</v>
      </c>
      <c r="AB18" s="1">
        <v>4395482</v>
      </c>
      <c r="AC18" s="2">
        <v>0.29360000000000003</v>
      </c>
      <c r="AD18" s="3">
        <v>13.39</v>
      </c>
      <c r="AE18" s="1">
        <v>1491064</v>
      </c>
      <c r="AF18" s="2">
        <v>0.1263</v>
      </c>
      <c r="AG18" s="3">
        <v>10.56</v>
      </c>
    </row>
    <row r="19" spans="1:33" x14ac:dyDescent="0.75">
      <c r="A19" t="s">
        <v>55</v>
      </c>
      <c r="B19" s="1">
        <v>277320</v>
      </c>
      <c r="C19" s="2">
        <v>0.67689999999999995</v>
      </c>
      <c r="D19" s="2">
        <v>0.3231</v>
      </c>
      <c r="E19" s="2">
        <v>0</v>
      </c>
      <c r="F19" s="1">
        <v>270286</v>
      </c>
      <c r="G19" s="1">
        <v>7034</v>
      </c>
      <c r="H19" s="1">
        <v>113330</v>
      </c>
      <c r="I19" s="1">
        <v>163990</v>
      </c>
      <c r="J19" s="2">
        <v>0.66459999999999997</v>
      </c>
      <c r="K19" s="2">
        <v>2.1100000000000001E-2</v>
      </c>
      <c r="L19" s="2">
        <v>3.3300000000000003E-2</v>
      </c>
      <c r="M19" s="2">
        <v>5.2499999999999998E-2</v>
      </c>
      <c r="N19" s="2">
        <v>0.192</v>
      </c>
      <c r="O19" s="2">
        <v>3.6499999999999998E-2</v>
      </c>
      <c r="P19" s="2">
        <v>0.50619999999999998</v>
      </c>
      <c r="Q19" s="2">
        <v>2.1299999999999999E-2</v>
      </c>
      <c r="R19">
        <v>3.68</v>
      </c>
      <c r="S19" s="1">
        <v>3619091</v>
      </c>
      <c r="T19" s="2">
        <v>9.9199999999999997E-2</v>
      </c>
      <c r="U19" s="3">
        <v>35.72</v>
      </c>
      <c r="V19" s="1">
        <v>993335</v>
      </c>
      <c r="W19" s="2">
        <v>5.21E-2</v>
      </c>
      <c r="X19" s="3">
        <v>18.649999999999999</v>
      </c>
      <c r="Y19" s="1">
        <v>280831</v>
      </c>
      <c r="Z19" s="2">
        <v>2.9000000000000001E-2</v>
      </c>
      <c r="AA19" s="3">
        <v>9.49</v>
      </c>
      <c r="AB19" s="1">
        <v>2237297</v>
      </c>
      <c r="AC19" s="2">
        <v>9.1800000000000007E-2</v>
      </c>
      <c r="AD19" s="3">
        <v>23.87</v>
      </c>
      <c r="AE19" s="1">
        <v>1586596</v>
      </c>
      <c r="AF19" s="2">
        <v>0.1081</v>
      </c>
      <c r="AG19" s="3">
        <v>14.37</v>
      </c>
    </row>
    <row r="20" spans="1:33" x14ac:dyDescent="0.75">
      <c r="A20" t="s">
        <v>56</v>
      </c>
      <c r="B20" s="1">
        <v>262778</v>
      </c>
      <c r="C20" s="2">
        <v>0.61009999999999998</v>
      </c>
      <c r="D20" s="2">
        <v>0.37359999999999999</v>
      </c>
      <c r="E20" s="2">
        <v>1.6299999999999999E-2</v>
      </c>
      <c r="F20" s="1">
        <v>231503</v>
      </c>
      <c r="G20" s="1">
        <v>31275</v>
      </c>
      <c r="H20" s="1">
        <v>88382</v>
      </c>
      <c r="I20" s="1">
        <v>174396</v>
      </c>
      <c r="J20" s="2">
        <v>0.69220000000000004</v>
      </c>
      <c r="K20" s="2">
        <v>1.8100000000000002E-2</v>
      </c>
      <c r="L20" s="2">
        <v>2.4799999999999999E-2</v>
      </c>
      <c r="M20" s="2">
        <v>5.0599999999999999E-2</v>
      </c>
      <c r="N20" s="2">
        <v>0.15870000000000001</v>
      </c>
      <c r="O20" s="2">
        <v>5.5599999999999997E-2</v>
      </c>
      <c r="P20" s="2">
        <v>0.4627</v>
      </c>
      <c r="Q20" s="2">
        <v>3.0300000000000001E-2</v>
      </c>
      <c r="R20">
        <v>3.66</v>
      </c>
      <c r="S20" s="1">
        <v>2972967</v>
      </c>
      <c r="T20" s="2">
        <v>8.4400000000000003E-2</v>
      </c>
      <c r="U20" s="3">
        <v>36.65</v>
      </c>
      <c r="V20" s="1">
        <v>1145451</v>
      </c>
      <c r="W20" s="2">
        <v>5.7200000000000001E-2</v>
      </c>
      <c r="X20" s="3">
        <v>20.82</v>
      </c>
      <c r="Y20" s="1">
        <v>286000</v>
      </c>
      <c r="Z20" s="2">
        <v>3.2500000000000001E-2</v>
      </c>
      <c r="AA20" s="3">
        <v>9.15</v>
      </c>
      <c r="AB20" s="1">
        <v>3246809</v>
      </c>
      <c r="AC20" s="2">
        <v>0.12520000000000001</v>
      </c>
      <c r="AD20" s="3">
        <v>26.98</v>
      </c>
      <c r="AE20" s="1">
        <v>1290641</v>
      </c>
      <c r="AF20" s="2">
        <v>9.6799999999999997E-2</v>
      </c>
      <c r="AG20" s="3">
        <v>13.87</v>
      </c>
    </row>
    <row r="21" spans="1:33" x14ac:dyDescent="0.75">
      <c r="A21" t="s">
        <v>57</v>
      </c>
      <c r="B21" s="1">
        <v>259981</v>
      </c>
      <c r="C21" s="2">
        <v>0.55689999999999995</v>
      </c>
      <c r="D21" s="2">
        <v>0.44309999999999999</v>
      </c>
      <c r="E21" s="2">
        <v>0</v>
      </c>
      <c r="F21" s="1">
        <v>247812</v>
      </c>
      <c r="G21" s="1">
        <v>12169</v>
      </c>
      <c r="H21" s="1">
        <v>98322</v>
      </c>
      <c r="I21" s="1">
        <v>161659</v>
      </c>
      <c r="J21" s="2">
        <v>0.7137</v>
      </c>
      <c r="K21" s="2">
        <v>1.7600000000000001E-2</v>
      </c>
      <c r="L21" s="2">
        <v>2.87E-2</v>
      </c>
      <c r="M21" s="2">
        <v>5.1200000000000002E-2</v>
      </c>
      <c r="N21" s="2">
        <v>0.15240000000000001</v>
      </c>
      <c r="O21" s="2">
        <v>3.6400000000000002E-2</v>
      </c>
      <c r="P21" s="2">
        <v>0.48459999999999998</v>
      </c>
      <c r="Q21" s="2">
        <v>2.53E-2</v>
      </c>
      <c r="R21">
        <v>3.7</v>
      </c>
      <c r="S21" s="1">
        <v>3330523</v>
      </c>
      <c r="T21" s="2">
        <v>9.2299999999999993E-2</v>
      </c>
      <c r="U21" s="3">
        <v>37.520000000000003</v>
      </c>
      <c r="V21" s="1">
        <v>1088710</v>
      </c>
      <c r="W21" s="2">
        <v>5.2999999999999999E-2</v>
      </c>
      <c r="X21" s="3">
        <v>21.36</v>
      </c>
      <c r="Y21" s="1">
        <v>274868</v>
      </c>
      <c r="Z21" s="2">
        <v>3.0700000000000002E-2</v>
      </c>
      <c r="AA21" s="3">
        <v>9.31</v>
      </c>
      <c r="AB21" s="1">
        <v>237110</v>
      </c>
      <c r="AC21" s="2">
        <v>2.0899999999999998E-2</v>
      </c>
      <c r="AD21" s="3">
        <v>11.8</v>
      </c>
      <c r="AE21" s="1">
        <v>1076311</v>
      </c>
      <c r="AF21" s="2">
        <v>8.7900000000000006E-2</v>
      </c>
      <c r="AG21" s="3">
        <v>12.73</v>
      </c>
    </row>
    <row r="22" spans="1:33" x14ac:dyDescent="0.75">
      <c r="A22" t="s">
        <v>58</v>
      </c>
      <c r="B22" s="1">
        <v>256962</v>
      </c>
      <c r="C22" s="2">
        <v>0.39190000000000003</v>
      </c>
      <c r="D22" s="2">
        <v>0.57320000000000004</v>
      </c>
      <c r="E22" s="2">
        <v>3.49E-2</v>
      </c>
      <c r="F22" s="1">
        <v>237915</v>
      </c>
      <c r="G22" s="1">
        <v>19047</v>
      </c>
      <c r="H22" s="1">
        <v>65928</v>
      </c>
      <c r="I22" s="1">
        <v>191034</v>
      </c>
      <c r="J22" s="2">
        <v>0.58840000000000003</v>
      </c>
      <c r="K22" s="2">
        <v>2.9000000000000001E-2</v>
      </c>
      <c r="L22" s="2">
        <v>0.1004</v>
      </c>
      <c r="M22" s="2">
        <v>8.2799999999999999E-2</v>
      </c>
      <c r="N22" s="2">
        <v>0.1164</v>
      </c>
      <c r="O22" s="2">
        <v>8.2900000000000001E-2</v>
      </c>
      <c r="P22" s="2">
        <v>0.35470000000000002</v>
      </c>
      <c r="Q22" s="2">
        <v>3.2599999999999997E-2</v>
      </c>
      <c r="R22">
        <v>5.1100000000000003</v>
      </c>
      <c r="S22" s="1">
        <v>7573626</v>
      </c>
      <c r="T22" s="2">
        <v>0.1734</v>
      </c>
      <c r="U22" s="3">
        <v>33.26</v>
      </c>
      <c r="V22" s="1">
        <v>1300842</v>
      </c>
      <c r="W22" s="2">
        <v>6.3899999999999998E-2</v>
      </c>
      <c r="X22" s="3">
        <v>15.5</v>
      </c>
      <c r="Y22" s="1">
        <v>589900</v>
      </c>
      <c r="Z22" s="2">
        <v>5.0099999999999999E-2</v>
      </c>
      <c r="AA22" s="3">
        <v>8.9700000000000006</v>
      </c>
      <c r="AB22">
        <v>0</v>
      </c>
      <c r="AE22" s="1">
        <v>1169195</v>
      </c>
      <c r="AF22" s="2">
        <v>6.5299999999999997E-2</v>
      </c>
      <c r="AG22" s="3">
        <v>13.62</v>
      </c>
    </row>
    <row r="23" spans="1:33" x14ac:dyDescent="0.75">
      <c r="A23" t="s">
        <v>59</v>
      </c>
      <c r="B23" s="1">
        <v>255668</v>
      </c>
      <c r="C23" s="2">
        <v>0.91420000000000001</v>
      </c>
      <c r="D23" s="2">
        <v>0</v>
      </c>
      <c r="E23" s="2">
        <v>8.5800000000000001E-2</v>
      </c>
      <c r="F23" s="1">
        <v>224370</v>
      </c>
      <c r="G23" s="1">
        <v>31298</v>
      </c>
      <c r="H23" s="1">
        <v>91743</v>
      </c>
      <c r="I23" s="1">
        <v>163925</v>
      </c>
      <c r="J23" s="2">
        <v>0.61860000000000004</v>
      </c>
      <c r="K23" s="2">
        <v>4.36E-2</v>
      </c>
      <c r="L23" s="2">
        <v>2.24E-2</v>
      </c>
      <c r="M23" s="2">
        <v>8.2100000000000006E-2</v>
      </c>
      <c r="N23" s="2">
        <v>0.1792</v>
      </c>
      <c r="O23" s="2">
        <v>5.3999999999999999E-2</v>
      </c>
      <c r="P23" s="2">
        <v>0.4854</v>
      </c>
      <c r="Q23" s="2">
        <v>4.2500000000000003E-2</v>
      </c>
      <c r="R23">
        <v>4.13</v>
      </c>
      <c r="S23" s="1">
        <v>4726374</v>
      </c>
      <c r="T23" s="2">
        <v>0.13150000000000001</v>
      </c>
      <c r="U23" s="3">
        <v>34.01</v>
      </c>
      <c r="V23" s="1">
        <v>1429805</v>
      </c>
      <c r="W23" s="2">
        <v>7.2499999999999995E-2</v>
      </c>
      <c r="X23" s="3">
        <v>18.649999999999999</v>
      </c>
      <c r="Y23" s="1">
        <v>1075564</v>
      </c>
      <c r="Z23" s="2">
        <v>0.11459999999999999</v>
      </c>
      <c r="AA23" s="3">
        <v>8.8800000000000008</v>
      </c>
      <c r="AB23" s="1">
        <v>2047</v>
      </c>
      <c r="AC23" s="2">
        <v>1E-4</v>
      </c>
      <c r="AD23" s="3">
        <v>20.27</v>
      </c>
      <c r="AE23" s="1">
        <v>938128</v>
      </c>
      <c r="AF23" s="2">
        <v>6.2100000000000002E-2</v>
      </c>
      <c r="AG23" s="3">
        <v>14.28</v>
      </c>
    </row>
    <row r="24" spans="1:33" x14ac:dyDescent="0.75">
      <c r="A24" t="s">
        <v>60</v>
      </c>
      <c r="B24" s="1">
        <v>239141</v>
      </c>
      <c r="C24" s="2">
        <v>0.54730000000000001</v>
      </c>
      <c r="D24" s="2">
        <v>0.41799999999999998</v>
      </c>
      <c r="E24" s="2">
        <v>3.4599999999999999E-2</v>
      </c>
      <c r="F24" s="1">
        <v>232244</v>
      </c>
      <c r="G24" s="1">
        <v>6897</v>
      </c>
      <c r="H24" s="1">
        <v>97766</v>
      </c>
      <c r="I24" s="1">
        <v>141375</v>
      </c>
      <c r="J24" s="2">
        <v>0.72209999999999996</v>
      </c>
      <c r="K24" s="2">
        <v>1.9E-2</v>
      </c>
      <c r="L24" s="2">
        <v>2.1399999999999999E-2</v>
      </c>
      <c r="M24" s="2">
        <v>5.1700000000000003E-2</v>
      </c>
      <c r="N24" s="2">
        <v>0.1474</v>
      </c>
      <c r="O24" s="2">
        <v>3.8399999999999997E-2</v>
      </c>
      <c r="P24" s="2">
        <v>0.47210000000000002</v>
      </c>
      <c r="Q24" s="2">
        <v>2.01E-2</v>
      </c>
      <c r="R24">
        <v>3.82</v>
      </c>
      <c r="S24" s="1">
        <v>2981528</v>
      </c>
      <c r="T24" s="2">
        <v>8.8900000000000007E-2</v>
      </c>
      <c r="U24" s="3">
        <v>36.75</v>
      </c>
      <c r="V24" s="1">
        <v>586260</v>
      </c>
      <c r="W24" s="2">
        <v>3.1099999999999999E-2</v>
      </c>
      <c r="X24" s="3">
        <v>20.67</v>
      </c>
      <c r="Y24" s="1">
        <v>344163</v>
      </c>
      <c r="Z24" s="2">
        <v>4.07E-2</v>
      </c>
      <c r="AA24" s="3">
        <v>9.27</v>
      </c>
      <c r="AB24" s="1">
        <v>70812</v>
      </c>
      <c r="AC24" s="2">
        <v>6.4999999999999997E-3</v>
      </c>
      <c r="AD24" s="3">
        <v>11.88</v>
      </c>
      <c r="AE24" s="1">
        <v>1010778</v>
      </c>
      <c r="AF24" s="2">
        <v>8.6499999999999994E-2</v>
      </c>
      <c r="AG24" s="3">
        <v>12.81</v>
      </c>
    </row>
    <row r="25" spans="1:33" x14ac:dyDescent="0.75">
      <c r="A25" t="s">
        <v>61</v>
      </c>
      <c r="B25" s="1">
        <v>238963</v>
      </c>
      <c r="C25" s="2">
        <v>0.56230000000000002</v>
      </c>
      <c r="D25" s="2">
        <v>0.4128</v>
      </c>
      <c r="E25" s="2">
        <v>2.4799999999999999E-2</v>
      </c>
      <c r="F25" s="1">
        <v>230854</v>
      </c>
      <c r="G25" s="1">
        <v>8109</v>
      </c>
      <c r="H25" s="1">
        <v>89589</v>
      </c>
      <c r="I25" s="1">
        <v>149374</v>
      </c>
      <c r="J25" s="2">
        <v>0.67579999999999996</v>
      </c>
      <c r="K25" s="2">
        <v>9.1999999999999998E-3</v>
      </c>
      <c r="L25" s="2">
        <v>1.7999999999999999E-2</v>
      </c>
      <c r="M25" s="2">
        <v>0.05</v>
      </c>
      <c r="N25" s="2">
        <v>0.1903</v>
      </c>
      <c r="O25" s="2">
        <v>5.6800000000000003E-2</v>
      </c>
      <c r="P25" s="2">
        <v>0.45839999999999997</v>
      </c>
      <c r="Q25" s="2">
        <v>3.2399999999999998E-2</v>
      </c>
      <c r="R25">
        <v>3.49</v>
      </c>
      <c r="S25" s="1">
        <v>3096096</v>
      </c>
      <c r="T25" s="2">
        <v>9.69E-2</v>
      </c>
      <c r="U25" s="3">
        <v>38.33</v>
      </c>
      <c r="V25" s="1">
        <v>935219</v>
      </c>
      <c r="W25" s="2">
        <v>5.2600000000000001E-2</v>
      </c>
      <c r="X25" s="3">
        <v>21.35</v>
      </c>
      <c r="Y25" s="1">
        <v>334619</v>
      </c>
      <c r="Z25" s="2">
        <v>4.2999999999999997E-2</v>
      </c>
      <c r="AA25" s="3">
        <v>9.34</v>
      </c>
      <c r="AB25">
        <v>486</v>
      </c>
      <c r="AC25" s="2">
        <v>0</v>
      </c>
      <c r="AD25" s="3">
        <v>15.56</v>
      </c>
      <c r="AE25" s="1">
        <v>1457315</v>
      </c>
      <c r="AF25" s="2">
        <v>0.1532</v>
      </c>
      <c r="AG25" s="3">
        <v>11.42</v>
      </c>
    </row>
    <row r="26" spans="1:33" x14ac:dyDescent="0.75">
      <c r="A26" t="s">
        <v>62</v>
      </c>
      <c r="B26" s="1">
        <v>229536</v>
      </c>
      <c r="C26" s="2">
        <v>0.38979999999999998</v>
      </c>
      <c r="D26" s="2">
        <v>0.54649999999999999</v>
      </c>
      <c r="E26" s="2">
        <v>6.3700000000000007E-2</v>
      </c>
      <c r="F26" s="1">
        <v>211903</v>
      </c>
      <c r="G26" s="1">
        <v>17633</v>
      </c>
      <c r="H26" s="1">
        <v>47809</v>
      </c>
      <c r="I26" s="1">
        <v>181727</v>
      </c>
      <c r="J26" s="2">
        <v>0.54759999999999998</v>
      </c>
      <c r="K26" s="2">
        <v>0.04</v>
      </c>
      <c r="L26" s="2">
        <v>0.11609999999999999</v>
      </c>
      <c r="M26" s="2">
        <v>6.3899999999999998E-2</v>
      </c>
      <c r="N26" s="2">
        <v>0.15049999999999999</v>
      </c>
      <c r="O26" s="2">
        <v>8.1900000000000001E-2</v>
      </c>
      <c r="P26" s="2">
        <v>0.35099999999999998</v>
      </c>
      <c r="Q26" s="2">
        <v>1.8100000000000002E-2</v>
      </c>
      <c r="R26">
        <v>5.99</v>
      </c>
      <c r="S26" s="1">
        <v>4275795</v>
      </c>
      <c r="T26" s="2">
        <v>9.5000000000000001E-2</v>
      </c>
      <c r="U26" s="3">
        <v>32.74</v>
      </c>
      <c r="V26" s="1">
        <v>926378</v>
      </c>
      <c r="W26" s="2">
        <v>4.4499999999999998E-2</v>
      </c>
      <c r="X26" s="3">
        <v>15.13</v>
      </c>
      <c r="Y26" s="1">
        <v>718532</v>
      </c>
      <c r="Z26" s="2">
        <v>5.91E-2</v>
      </c>
      <c r="AA26" s="3">
        <v>8.84</v>
      </c>
      <c r="AB26">
        <v>0</v>
      </c>
      <c r="AE26" s="1">
        <v>982057</v>
      </c>
      <c r="AF26" s="2">
        <v>6.0299999999999999E-2</v>
      </c>
      <c r="AG26" s="3">
        <v>11.84</v>
      </c>
    </row>
    <row r="27" spans="1:33" x14ac:dyDescent="0.75">
      <c r="A27" t="s">
        <v>63</v>
      </c>
      <c r="B27" s="1">
        <v>223371</v>
      </c>
      <c r="C27" s="2">
        <v>0.94010000000000005</v>
      </c>
      <c r="D27" s="2">
        <v>0</v>
      </c>
      <c r="E27" s="2">
        <v>5.9900000000000002E-2</v>
      </c>
      <c r="F27" s="1">
        <v>215711</v>
      </c>
      <c r="G27" s="1">
        <v>7660</v>
      </c>
      <c r="H27" s="1">
        <v>106336</v>
      </c>
      <c r="I27" s="1">
        <v>117035</v>
      </c>
      <c r="J27" s="2">
        <v>0.7077</v>
      </c>
      <c r="K27" s="2">
        <v>7.7999999999999996E-3</v>
      </c>
      <c r="L27" s="2">
        <v>2.53E-2</v>
      </c>
      <c r="M27" s="2">
        <v>6.0400000000000002E-2</v>
      </c>
      <c r="N27" s="2">
        <v>0.1691</v>
      </c>
      <c r="O27" s="2">
        <v>2.9600000000000001E-2</v>
      </c>
      <c r="P27" s="2">
        <v>0.54039999999999999</v>
      </c>
      <c r="Q27" s="2">
        <v>2.3099999999999999E-2</v>
      </c>
      <c r="R27">
        <v>3.85</v>
      </c>
      <c r="S27" s="1">
        <v>2580355</v>
      </c>
      <c r="T27" s="2">
        <v>8.3900000000000002E-2</v>
      </c>
      <c r="U27" s="3">
        <v>35.71</v>
      </c>
      <c r="V27" s="1">
        <v>797272</v>
      </c>
      <c r="W27" s="2">
        <v>4.4600000000000001E-2</v>
      </c>
      <c r="X27" s="3">
        <v>20.74</v>
      </c>
      <c r="Y27" s="1">
        <v>322455</v>
      </c>
      <c r="Z27" s="2">
        <v>4.1500000000000002E-2</v>
      </c>
      <c r="AA27" s="3">
        <v>9.02</v>
      </c>
      <c r="AB27">
        <v>336</v>
      </c>
      <c r="AC27" s="2">
        <v>0</v>
      </c>
      <c r="AD27" s="3">
        <v>22.43</v>
      </c>
      <c r="AE27" s="1">
        <v>901122</v>
      </c>
      <c r="AF27" s="2">
        <v>7.8600000000000003E-2</v>
      </c>
      <c r="AG27" s="3">
        <v>13.31</v>
      </c>
    </row>
    <row r="28" spans="1:33" x14ac:dyDescent="0.75">
      <c r="A28" t="s">
        <v>64</v>
      </c>
      <c r="B28" s="1">
        <v>218165</v>
      </c>
      <c r="C28" s="2">
        <v>0.4138</v>
      </c>
      <c r="D28" s="2">
        <v>0.57040000000000002</v>
      </c>
      <c r="E28" s="2">
        <v>1.5800000000000002E-2</v>
      </c>
      <c r="F28" s="1">
        <v>209793</v>
      </c>
      <c r="G28" s="1">
        <v>8372</v>
      </c>
      <c r="H28" s="1">
        <v>39705</v>
      </c>
      <c r="I28" s="1">
        <v>178460</v>
      </c>
      <c r="J28" s="2">
        <v>0.60850000000000004</v>
      </c>
      <c r="K28" s="2">
        <v>8.8999999999999999E-3</v>
      </c>
      <c r="L28" s="2">
        <v>9.7000000000000003E-3</v>
      </c>
      <c r="M28" s="2">
        <v>5.45E-2</v>
      </c>
      <c r="N28" s="2">
        <v>0.24</v>
      </c>
      <c r="O28" s="2">
        <v>7.8399999999999997E-2</v>
      </c>
      <c r="P28" s="2">
        <v>0.4128</v>
      </c>
      <c r="Q28" s="2">
        <v>1.6799999999999999E-2</v>
      </c>
      <c r="R28">
        <v>5.9</v>
      </c>
      <c r="S28" s="1">
        <v>3188149</v>
      </c>
      <c r="T28" s="2">
        <v>6.4399999999999999E-2</v>
      </c>
      <c r="U28" s="3">
        <v>38.47</v>
      </c>
      <c r="V28" s="1">
        <v>749011</v>
      </c>
      <c r="W28" s="2">
        <v>3.1399999999999997E-2</v>
      </c>
      <c r="X28" s="3">
        <v>18.559999999999999</v>
      </c>
      <c r="Y28" s="1">
        <v>165437</v>
      </c>
      <c r="Z28" s="2">
        <v>1.4800000000000001E-2</v>
      </c>
      <c r="AA28" s="3">
        <v>8.6999999999999993</v>
      </c>
      <c r="AB28" s="1">
        <v>915922</v>
      </c>
      <c r="AC28" s="2">
        <v>5.9799999999999999E-2</v>
      </c>
      <c r="AD28" s="3">
        <v>11.91</v>
      </c>
      <c r="AE28" s="1">
        <v>1662535</v>
      </c>
      <c r="AF28" s="2">
        <v>0.15970000000000001</v>
      </c>
      <c r="AG28" s="3">
        <v>8.09</v>
      </c>
    </row>
    <row r="29" spans="1:33" x14ac:dyDescent="0.75">
      <c r="A29" t="s">
        <v>65</v>
      </c>
      <c r="B29" s="1">
        <v>201208</v>
      </c>
      <c r="C29" s="2">
        <v>0.55889999999999995</v>
      </c>
      <c r="D29" s="2">
        <v>0.41920000000000002</v>
      </c>
      <c r="E29" s="2">
        <v>2.1999999999999999E-2</v>
      </c>
      <c r="F29" s="1">
        <v>164086</v>
      </c>
      <c r="G29" s="1">
        <v>37122</v>
      </c>
      <c r="H29" s="1">
        <v>35380</v>
      </c>
      <c r="I29" s="1">
        <v>165828</v>
      </c>
      <c r="J29" s="2">
        <v>0.62</v>
      </c>
      <c r="K29" s="2">
        <v>1.5299999999999999E-2</v>
      </c>
      <c r="L29" s="2">
        <v>3.0700000000000002E-2</v>
      </c>
      <c r="M29" s="2">
        <v>6.5500000000000003E-2</v>
      </c>
      <c r="N29" s="2">
        <v>0.1968</v>
      </c>
      <c r="O29" s="2">
        <v>7.1800000000000003E-2</v>
      </c>
      <c r="P29" s="2">
        <v>0.33</v>
      </c>
      <c r="Q29" s="2">
        <v>4.3299999999999998E-2</v>
      </c>
      <c r="R29">
        <v>4.63</v>
      </c>
      <c r="S29" s="1">
        <v>3182103</v>
      </c>
      <c r="T29" s="2">
        <v>0.2</v>
      </c>
      <c r="U29" s="3">
        <v>17.09</v>
      </c>
      <c r="V29" s="1">
        <v>1794937</v>
      </c>
      <c r="W29" s="2">
        <v>9.8000000000000004E-2</v>
      </c>
      <c r="X29" s="3">
        <v>19.670000000000002</v>
      </c>
      <c r="Y29" s="1">
        <v>466802</v>
      </c>
      <c r="Z29" s="2">
        <v>5.5800000000000002E-2</v>
      </c>
      <c r="AA29" s="3">
        <v>8.98</v>
      </c>
      <c r="AB29" s="1">
        <v>3913312</v>
      </c>
      <c r="AC29" s="2">
        <v>0.16719999999999999</v>
      </c>
      <c r="AD29" s="3">
        <v>25.13</v>
      </c>
      <c r="AE29" s="1">
        <v>791004</v>
      </c>
      <c r="AF29" s="2">
        <v>6.2E-2</v>
      </c>
      <c r="AG29" s="3">
        <v>13.71</v>
      </c>
    </row>
    <row r="30" spans="1:33" x14ac:dyDescent="0.75">
      <c r="A30" t="s">
        <v>66</v>
      </c>
      <c r="B30" s="1">
        <v>201177</v>
      </c>
      <c r="C30" s="2">
        <v>0.55489999999999995</v>
      </c>
      <c r="D30" s="2">
        <v>0.39750000000000002</v>
      </c>
      <c r="E30" s="2">
        <v>4.7600000000000003E-2</v>
      </c>
      <c r="F30" s="1">
        <v>197659</v>
      </c>
      <c r="G30" s="1">
        <v>3518</v>
      </c>
      <c r="H30" s="1">
        <v>66594</v>
      </c>
      <c r="I30" s="1">
        <v>134583</v>
      </c>
      <c r="J30" s="2">
        <v>0.70179999999999998</v>
      </c>
      <c r="K30" s="2">
        <v>2.8799999999999999E-2</v>
      </c>
      <c r="L30" s="2">
        <v>1.44E-2</v>
      </c>
      <c r="M30" s="2">
        <v>7.6399999999999996E-2</v>
      </c>
      <c r="N30" s="2">
        <v>0.13600000000000001</v>
      </c>
      <c r="O30" s="2">
        <v>4.2599999999999999E-2</v>
      </c>
      <c r="P30" s="2">
        <v>0.432</v>
      </c>
      <c r="Q30" s="2">
        <v>2.47E-2</v>
      </c>
      <c r="R30">
        <v>4.28</v>
      </c>
      <c r="S30" s="1">
        <v>2762474</v>
      </c>
      <c r="T30" s="2">
        <v>8.5800000000000001E-2</v>
      </c>
      <c r="U30" s="3">
        <v>37.369999999999997</v>
      </c>
      <c r="V30" s="1">
        <v>666467</v>
      </c>
      <c r="W30" s="2">
        <v>4.0899999999999999E-2</v>
      </c>
      <c r="X30" s="3">
        <v>18.91</v>
      </c>
      <c r="Y30" s="1">
        <v>247697</v>
      </c>
      <c r="Z30" s="2">
        <v>3.2099999999999997E-2</v>
      </c>
      <c r="AA30" s="3">
        <v>8.9700000000000006</v>
      </c>
      <c r="AB30">
        <v>48</v>
      </c>
      <c r="AC30" s="2">
        <v>0</v>
      </c>
      <c r="AD30" s="3">
        <v>23.84</v>
      </c>
      <c r="AE30" s="1">
        <v>981515</v>
      </c>
      <c r="AF30" s="2">
        <v>8.1199999999999994E-2</v>
      </c>
      <c r="AG30" s="3">
        <v>14.04</v>
      </c>
    </row>
    <row r="31" spans="1:33" x14ac:dyDescent="0.75">
      <c r="A31" t="s">
        <v>67</v>
      </c>
      <c r="B31" s="1">
        <v>200435</v>
      </c>
      <c r="C31" s="2">
        <v>0.63170000000000004</v>
      </c>
      <c r="D31" s="2">
        <v>0.34370000000000001</v>
      </c>
      <c r="E31" s="2">
        <v>2.46E-2</v>
      </c>
      <c r="F31" s="1">
        <v>192777</v>
      </c>
      <c r="G31" s="1">
        <v>7658</v>
      </c>
      <c r="H31" s="1">
        <v>84875</v>
      </c>
      <c r="I31" s="1">
        <v>115560</v>
      </c>
      <c r="J31" s="2">
        <v>0.68600000000000005</v>
      </c>
      <c r="K31" s="2">
        <v>4.1599999999999998E-2</v>
      </c>
      <c r="L31" s="2">
        <v>1.5800000000000002E-2</v>
      </c>
      <c r="M31" s="2">
        <v>5.1700000000000003E-2</v>
      </c>
      <c r="N31" s="2">
        <v>0.16159999999999999</v>
      </c>
      <c r="O31" s="2">
        <v>4.3200000000000002E-2</v>
      </c>
      <c r="P31" s="2">
        <v>0.4914</v>
      </c>
      <c r="Q31" s="2">
        <v>2.81E-2</v>
      </c>
      <c r="R31">
        <v>3.76</v>
      </c>
      <c r="S31" s="1">
        <v>2595115</v>
      </c>
      <c r="T31" s="2">
        <v>8.72E-2</v>
      </c>
      <c r="U31" s="3">
        <v>39.47</v>
      </c>
      <c r="V31" s="1">
        <v>835379</v>
      </c>
      <c r="W31" s="2">
        <v>5.4199999999999998E-2</v>
      </c>
      <c r="X31" s="3">
        <v>20.43</v>
      </c>
      <c r="Y31" s="1">
        <v>346295</v>
      </c>
      <c r="Z31" s="2">
        <v>5.0500000000000003E-2</v>
      </c>
      <c r="AA31" s="3">
        <v>9.1</v>
      </c>
      <c r="AB31" s="1">
        <v>1922062</v>
      </c>
      <c r="AC31" s="2">
        <v>0.192</v>
      </c>
      <c r="AD31" s="3">
        <v>13.27</v>
      </c>
      <c r="AE31" s="1">
        <v>864875</v>
      </c>
      <c r="AF31" s="2">
        <v>0.10680000000000001</v>
      </c>
      <c r="AG31" s="3">
        <v>10.73</v>
      </c>
    </row>
    <row r="32" spans="1:33" x14ac:dyDescent="0.75">
      <c r="A32" t="s">
        <v>68</v>
      </c>
      <c r="B32" s="1">
        <v>200208</v>
      </c>
      <c r="C32" s="2">
        <v>0.54020000000000001</v>
      </c>
      <c r="D32" s="2">
        <v>0.44350000000000001</v>
      </c>
      <c r="E32" s="2">
        <v>1.6299999999999999E-2</v>
      </c>
      <c r="F32" s="1">
        <v>194806</v>
      </c>
      <c r="G32" s="1">
        <v>5402</v>
      </c>
      <c r="H32" s="1">
        <v>70412</v>
      </c>
      <c r="I32" s="1">
        <v>129796</v>
      </c>
      <c r="J32" s="2">
        <v>0.72570000000000001</v>
      </c>
      <c r="K32" s="2">
        <v>1.6400000000000001E-2</v>
      </c>
      <c r="L32" s="2">
        <v>3.0700000000000002E-2</v>
      </c>
      <c r="M32" s="2">
        <v>4.87E-2</v>
      </c>
      <c r="N32" s="2">
        <v>0.13109999999999999</v>
      </c>
      <c r="O32" s="2">
        <v>4.7399999999999998E-2</v>
      </c>
      <c r="P32" s="2">
        <v>0.45639999999999997</v>
      </c>
      <c r="Q32" s="2">
        <v>1.52E-2</v>
      </c>
      <c r="R32">
        <v>3.71</v>
      </c>
      <c r="S32" s="1">
        <v>2278934</v>
      </c>
      <c r="T32" s="2">
        <v>8.0500000000000002E-2</v>
      </c>
      <c r="U32" s="3">
        <v>38.1</v>
      </c>
      <c r="V32" s="1">
        <v>780746</v>
      </c>
      <c r="W32" s="2">
        <v>4.9399999999999999E-2</v>
      </c>
      <c r="X32" s="3">
        <v>21.27</v>
      </c>
      <c r="Y32" s="1">
        <v>170357</v>
      </c>
      <c r="Z32" s="2">
        <v>2.4899999999999999E-2</v>
      </c>
      <c r="AA32" s="3">
        <v>9.1999999999999993</v>
      </c>
      <c r="AB32" s="1">
        <v>294798</v>
      </c>
      <c r="AC32" s="2">
        <v>3.3000000000000002E-2</v>
      </c>
      <c r="AD32" s="3">
        <v>12</v>
      </c>
      <c r="AE32" s="1">
        <v>981947</v>
      </c>
      <c r="AF32" s="2">
        <v>0.1016</v>
      </c>
      <c r="AG32" s="3">
        <v>13</v>
      </c>
    </row>
    <row r="33" spans="1:33" x14ac:dyDescent="0.75">
      <c r="A33" t="s">
        <v>69</v>
      </c>
      <c r="B33" s="1">
        <v>192178</v>
      </c>
      <c r="C33" s="2">
        <v>0.61880000000000002</v>
      </c>
      <c r="D33" s="2">
        <v>0.38119999999999998</v>
      </c>
      <c r="E33" s="2">
        <v>0</v>
      </c>
      <c r="F33" s="1">
        <v>177519</v>
      </c>
      <c r="G33" s="1">
        <v>14659</v>
      </c>
      <c r="H33" s="1">
        <v>79874</v>
      </c>
      <c r="I33" s="1">
        <v>112304</v>
      </c>
      <c r="J33" s="2">
        <v>0.70350000000000001</v>
      </c>
      <c r="K33" s="2">
        <v>1.95E-2</v>
      </c>
      <c r="L33" s="2">
        <v>2.9100000000000001E-2</v>
      </c>
      <c r="M33" s="2">
        <v>4.1000000000000002E-2</v>
      </c>
      <c r="N33" s="2">
        <v>0.15920000000000001</v>
      </c>
      <c r="O33" s="2">
        <v>4.7699999999999999E-2</v>
      </c>
      <c r="P33" s="2">
        <v>0.48420000000000002</v>
      </c>
      <c r="Q33" s="2">
        <v>5.1999999999999998E-2</v>
      </c>
      <c r="R33">
        <v>4.21</v>
      </c>
      <c r="S33" s="1">
        <v>3450407</v>
      </c>
      <c r="T33" s="2">
        <v>0.1157</v>
      </c>
      <c r="U33" s="3">
        <v>36.85</v>
      </c>
      <c r="V33" s="1">
        <v>1198144</v>
      </c>
      <c r="W33" s="2">
        <v>8.1600000000000006E-2</v>
      </c>
      <c r="X33" s="3">
        <v>18.149999999999999</v>
      </c>
      <c r="Y33" s="1">
        <v>584130</v>
      </c>
      <c r="Z33" s="2">
        <v>8.2400000000000001E-2</v>
      </c>
      <c r="AA33" s="3">
        <v>8.76</v>
      </c>
      <c r="AB33" s="1">
        <v>1969404</v>
      </c>
      <c r="AC33" s="2">
        <v>9.9000000000000005E-2</v>
      </c>
      <c r="AD33" s="3">
        <v>24.59</v>
      </c>
      <c r="AE33" s="1">
        <v>632461</v>
      </c>
      <c r="AF33" s="2">
        <v>6.54E-2</v>
      </c>
      <c r="AG33" s="3">
        <v>11.95</v>
      </c>
    </row>
    <row r="34" spans="1:33" x14ac:dyDescent="0.75">
      <c r="A34" t="s">
        <v>70</v>
      </c>
      <c r="B34" s="1">
        <v>191061</v>
      </c>
      <c r="C34" s="2">
        <v>0.46189999999999998</v>
      </c>
      <c r="D34" s="2">
        <v>0.4975</v>
      </c>
      <c r="E34" s="2">
        <v>4.07E-2</v>
      </c>
      <c r="F34" s="1">
        <v>188327</v>
      </c>
      <c r="G34" s="1">
        <v>2734</v>
      </c>
      <c r="H34" s="1">
        <v>58896</v>
      </c>
      <c r="I34" s="1">
        <v>132165</v>
      </c>
      <c r="J34" s="2">
        <v>0.64829999999999999</v>
      </c>
      <c r="K34" s="2">
        <v>7.3200000000000001E-2</v>
      </c>
      <c r="L34" s="2">
        <v>2.4500000000000001E-2</v>
      </c>
      <c r="M34" s="2">
        <v>7.9500000000000001E-2</v>
      </c>
      <c r="N34" s="2">
        <v>0.13689999999999999</v>
      </c>
      <c r="O34" s="2">
        <v>3.7499999999999999E-2</v>
      </c>
      <c r="P34" s="2">
        <v>0.41170000000000001</v>
      </c>
      <c r="Q34" s="2">
        <v>2.9000000000000001E-2</v>
      </c>
      <c r="R34">
        <v>4.0199999999999996</v>
      </c>
      <c r="S34" s="1">
        <v>3980842</v>
      </c>
      <c r="T34" s="2">
        <v>0.15110000000000001</v>
      </c>
      <c r="U34" s="3">
        <v>34.32</v>
      </c>
      <c r="V34" s="1">
        <v>672693</v>
      </c>
      <c r="W34" s="2">
        <v>5.2400000000000002E-2</v>
      </c>
      <c r="X34" s="3">
        <v>16.739999999999998</v>
      </c>
      <c r="Y34" s="1">
        <v>226033</v>
      </c>
      <c r="Z34" s="2">
        <v>3.15E-2</v>
      </c>
      <c r="AA34" s="3">
        <v>9.34</v>
      </c>
      <c r="AB34" s="1">
        <v>104821</v>
      </c>
      <c r="AC34" s="2">
        <v>9.5999999999999992E-3</v>
      </c>
      <c r="AD34" s="3">
        <v>14.2</v>
      </c>
      <c r="AE34" s="1">
        <v>904708</v>
      </c>
      <c r="AF34" s="2">
        <v>5.8000000000000003E-2</v>
      </c>
      <c r="AG34" s="3">
        <v>20.32</v>
      </c>
    </row>
    <row r="35" spans="1:33" x14ac:dyDescent="0.75">
      <c r="A35" t="s">
        <v>71</v>
      </c>
      <c r="B35" s="1">
        <v>188522</v>
      </c>
      <c r="C35" s="2">
        <v>0.54320000000000002</v>
      </c>
      <c r="D35" s="2">
        <v>0.43149999999999999</v>
      </c>
      <c r="E35" s="2">
        <v>2.53E-2</v>
      </c>
      <c r="F35" s="1">
        <v>181220</v>
      </c>
      <c r="G35" s="1">
        <v>7302</v>
      </c>
      <c r="H35" s="1">
        <v>46934</v>
      </c>
      <c r="I35" s="1">
        <v>141588</v>
      </c>
      <c r="J35" s="2">
        <v>0.63770000000000004</v>
      </c>
      <c r="K35" s="2">
        <v>2.0799999999999999E-2</v>
      </c>
      <c r="L35" s="2">
        <v>0.03</v>
      </c>
      <c r="M35" s="2">
        <v>5.62E-2</v>
      </c>
      <c r="N35" s="2">
        <v>0.1804</v>
      </c>
      <c r="O35" s="2">
        <v>7.4999999999999997E-2</v>
      </c>
      <c r="P35" s="2">
        <v>0.40379999999999999</v>
      </c>
      <c r="Q35" s="2">
        <v>2.7300000000000001E-2</v>
      </c>
      <c r="R35">
        <v>3.52</v>
      </c>
      <c r="S35" s="1">
        <v>2163651</v>
      </c>
      <c r="T35" s="2">
        <v>0.18</v>
      </c>
      <c r="U35" s="3">
        <v>18.11</v>
      </c>
      <c r="V35" s="1">
        <v>956223</v>
      </c>
      <c r="W35" s="2">
        <v>7.1599999999999997E-2</v>
      </c>
      <c r="X35" s="3">
        <v>20.13</v>
      </c>
      <c r="Y35" s="1">
        <v>315707</v>
      </c>
      <c r="Z35" s="2">
        <v>5.0799999999999998E-2</v>
      </c>
      <c r="AA35" s="3">
        <v>9.36</v>
      </c>
      <c r="AB35" s="1">
        <v>1994689</v>
      </c>
      <c r="AC35" s="2">
        <v>0.1096</v>
      </c>
      <c r="AD35" s="3">
        <v>27.42</v>
      </c>
      <c r="AE35" s="1">
        <v>501235</v>
      </c>
      <c r="AF35" s="2">
        <v>4.8800000000000003E-2</v>
      </c>
      <c r="AG35" s="3">
        <v>15.49</v>
      </c>
    </row>
    <row r="36" spans="1:33" x14ac:dyDescent="0.75">
      <c r="A36" t="s">
        <v>72</v>
      </c>
      <c r="B36" s="1">
        <v>186005</v>
      </c>
      <c r="C36" s="2">
        <v>0.68400000000000005</v>
      </c>
      <c r="D36" s="2">
        <v>0.2833</v>
      </c>
      <c r="E36" s="2">
        <v>3.27E-2</v>
      </c>
      <c r="F36" s="1">
        <v>182456</v>
      </c>
      <c r="G36" s="1">
        <v>3549</v>
      </c>
      <c r="H36" s="1">
        <v>101457</v>
      </c>
      <c r="I36" s="1">
        <v>84548</v>
      </c>
      <c r="J36" s="2">
        <v>0.74480000000000002</v>
      </c>
      <c r="K36" s="2">
        <v>0.04</v>
      </c>
      <c r="L36" s="2">
        <v>2.0799999999999999E-2</v>
      </c>
      <c r="M36" s="2">
        <v>4.3200000000000002E-2</v>
      </c>
      <c r="N36" s="2">
        <v>0.1123</v>
      </c>
      <c r="O36" s="2">
        <v>3.9100000000000003E-2</v>
      </c>
      <c r="P36" s="2">
        <v>0.59089999999999998</v>
      </c>
      <c r="Q36" s="2">
        <v>1.6E-2</v>
      </c>
      <c r="R36">
        <v>3.76</v>
      </c>
      <c r="S36" s="1">
        <v>1761476</v>
      </c>
      <c r="T36" s="2">
        <v>7.8200000000000006E-2</v>
      </c>
      <c r="U36" s="3">
        <v>32.22</v>
      </c>
      <c r="V36" s="1">
        <v>824900</v>
      </c>
      <c r="W36" s="2">
        <v>7.1599999999999997E-2</v>
      </c>
      <c r="X36" s="3">
        <v>16.48</v>
      </c>
      <c r="Y36" s="1">
        <v>198516</v>
      </c>
      <c r="Z36" s="2">
        <v>3.09E-2</v>
      </c>
      <c r="AA36" s="3">
        <v>9.1999999999999993</v>
      </c>
      <c r="AB36" s="1">
        <v>251216</v>
      </c>
      <c r="AC36" s="2">
        <v>2.7900000000000001E-2</v>
      </c>
      <c r="AD36" s="3">
        <v>12.9</v>
      </c>
      <c r="AE36" s="1">
        <v>415888</v>
      </c>
      <c r="AF36" s="2">
        <v>3.2099999999999997E-2</v>
      </c>
      <c r="AG36" s="3">
        <v>18.57</v>
      </c>
    </row>
    <row r="37" spans="1:33" x14ac:dyDescent="0.75">
      <c r="A37" t="s">
        <v>73</v>
      </c>
      <c r="B37" s="1">
        <v>185162</v>
      </c>
      <c r="C37" s="2">
        <v>0.56140000000000001</v>
      </c>
      <c r="D37" s="2">
        <v>0.43859999999999999</v>
      </c>
      <c r="E37" s="2">
        <v>0</v>
      </c>
      <c r="F37" s="1">
        <v>183501</v>
      </c>
      <c r="G37" s="1">
        <v>1661</v>
      </c>
      <c r="H37" s="1">
        <v>68005</v>
      </c>
      <c r="I37" s="1">
        <v>117157</v>
      </c>
      <c r="J37" s="2">
        <v>0.69</v>
      </c>
      <c r="K37" s="2">
        <v>1.7299999999999999E-2</v>
      </c>
      <c r="L37" s="2">
        <v>2.7400000000000001E-2</v>
      </c>
      <c r="M37" s="2">
        <v>5.1700000000000003E-2</v>
      </c>
      <c r="N37" s="2">
        <v>0.16589999999999999</v>
      </c>
      <c r="O37" s="2">
        <v>4.7699999999999999E-2</v>
      </c>
      <c r="P37" s="2">
        <v>0.47520000000000001</v>
      </c>
      <c r="Q37" s="2">
        <v>3.1600000000000003E-2</v>
      </c>
      <c r="R37">
        <v>3.82</v>
      </c>
      <c r="S37" s="1">
        <v>2355284</v>
      </c>
      <c r="T37" s="2">
        <v>8.9399999999999993E-2</v>
      </c>
      <c r="U37" s="3">
        <v>37.28</v>
      </c>
      <c r="V37" s="1">
        <v>849489</v>
      </c>
      <c r="W37" s="2">
        <v>6.6000000000000003E-2</v>
      </c>
      <c r="X37" s="3">
        <v>18.23</v>
      </c>
      <c r="Y37" s="1">
        <v>489570</v>
      </c>
      <c r="Z37" s="2">
        <v>7.1300000000000002E-2</v>
      </c>
      <c r="AA37" s="3">
        <v>9.7200000000000006</v>
      </c>
      <c r="AB37" s="1">
        <v>1404859</v>
      </c>
      <c r="AC37" s="2">
        <v>7.3999999999999996E-2</v>
      </c>
      <c r="AD37" s="3">
        <v>26.86</v>
      </c>
      <c r="AE37" s="1">
        <v>749118</v>
      </c>
      <c r="AF37" s="2">
        <v>7.9000000000000001E-2</v>
      </c>
      <c r="AG37" s="3">
        <v>13.42</v>
      </c>
    </row>
    <row r="38" spans="1:33" x14ac:dyDescent="0.75">
      <c r="A38" t="s">
        <v>74</v>
      </c>
      <c r="B38" s="1">
        <v>179643</v>
      </c>
      <c r="C38" s="2">
        <v>0.51270000000000004</v>
      </c>
      <c r="D38" s="2">
        <v>0.47710000000000002</v>
      </c>
      <c r="E38" s="2">
        <v>1.0200000000000001E-2</v>
      </c>
      <c r="F38" s="1">
        <v>175609</v>
      </c>
      <c r="G38" s="1">
        <v>4034</v>
      </c>
      <c r="H38" s="1">
        <v>48525</v>
      </c>
      <c r="I38" s="1">
        <v>131118</v>
      </c>
      <c r="J38" s="2">
        <v>0.62770000000000004</v>
      </c>
      <c r="K38" s="2">
        <v>2.24E-2</v>
      </c>
      <c r="L38" s="2">
        <v>1.1599999999999999E-2</v>
      </c>
      <c r="M38" s="2">
        <v>5.9299999999999999E-2</v>
      </c>
      <c r="N38" s="2">
        <v>0.2243</v>
      </c>
      <c r="O38" s="2">
        <v>5.4800000000000001E-2</v>
      </c>
      <c r="P38" s="2">
        <v>0.42709999999999998</v>
      </c>
      <c r="Q38" s="2">
        <v>3.39E-2</v>
      </c>
      <c r="R38">
        <v>5.29</v>
      </c>
      <c r="S38" s="1">
        <v>2267890</v>
      </c>
      <c r="T38" s="2">
        <v>6.4399999999999999E-2</v>
      </c>
      <c r="U38" s="3">
        <v>37.01</v>
      </c>
      <c r="V38" s="1">
        <v>661224</v>
      </c>
      <c r="W38" s="2">
        <v>3.7199999999999997E-2</v>
      </c>
      <c r="X38" s="3">
        <v>18.690000000000001</v>
      </c>
      <c r="Y38" s="1">
        <v>136857</v>
      </c>
      <c r="Z38" s="2">
        <v>1.6500000000000001E-2</v>
      </c>
      <c r="AA38" s="3">
        <v>8.7100000000000009</v>
      </c>
      <c r="AB38" s="1">
        <v>1013241</v>
      </c>
      <c r="AC38" s="2">
        <v>8.6900000000000005E-2</v>
      </c>
      <c r="AD38" s="3">
        <v>12.26</v>
      </c>
      <c r="AE38" s="1">
        <v>804667</v>
      </c>
      <c r="AF38" s="2">
        <v>9.1999999999999998E-2</v>
      </c>
      <c r="AG38" s="3">
        <v>9.1999999999999993</v>
      </c>
    </row>
    <row r="39" spans="1:33" x14ac:dyDescent="0.75">
      <c r="A39" t="s">
        <v>75</v>
      </c>
      <c r="B39" s="1">
        <v>175503</v>
      </c>
      <c r="C39" s="2">
        <v>0.55059999999999998</v>
      </c>
      <c r="D39" s="2">
        <v>0.4083</v>
      </c>
      <c r="E39" s="2">
        <v>4.1099999999999998E-2</v>
      </c>
      <c r="F39" s="1">
        <v>172795</v>
      </c>
      <c r="G39" s="1">
        <v>2708</v>
      </c>
      <c r="H39" s="1">
        <v>77007</v>
      </c>
      <c r="I39" s="1">
        <v>98496</v>
      </c>
      <c r="J39" s="2">
        <v>0.69850000000000001</v>
      </c>
      <c r="K39" s="2">
        <v>1.84E-2</v>
      </c>
      <c r="L39" s="2">
        <v>2.5700000000000001E-2</v>
      </c>
      <c r="M39" s="2">
        <v>6.1199999999999997E-2</v>
      </c>
      <c r="N39" s="2">
        <v>0.1603</v>
      </c>
      <c r="O39" s="2">
        <v>3.5700000000000003E-2</v>
      </c>
      <c r="P39" s="2">
        <v>0.47439999999999999</v>
      </c>
      <c r="Q39" s="2">
        <v>2.0799999999999999E-2</v>
      </c>
      <c r="R39">
        <v>4.1399999999999997</v>
      </c>
      <c r="S39" s="1">
        <v>2522069</v>
      </c>
      <c r="T39" s="2">
        <v>9.3700000000000006E-2</v>
      </c>
      <c r="U39" s="3">
        <v>37.020000000000003</v>
      </c>
      <c r="V39" s="1">
        <v>501495</v>
      </c>
      <c r="W39" s="2">
        <v>3.7499999999999999E-2</v>
      </c>
      <c r="X39" s="3">
        <v>18.39</v>
      </c>
      <c r="Y39" s="1">
        <v>209838</v>
      </c>
      <c r="Z39" s="2">
        <v>3.1099999999999999E-2</v>
      </c>
      <c r="AA39" s="3">
        <v>9.27</v>
      </c>
      <c r="AB39" s="1">
        <v>69167</v>
      </c>
      <c r="AC39" s="2">
        <v>8.0999999999999996E-3</v>
      </c>
      <c r="AD39" s="3">
        <v>11.78</v>
      </c>
      <c r="AE39" s="1">
        <v>959010</v>
      </c>
      <c r="AF39" s="2">
        <v>0.1077</v>
      </c>
      <c r="AG39" s="3">
        <v>12.25</v>
      </c>
    </row>
    <row r="40" spans="1:33" x14ac:dyDescent="0.75">
      <c r="A40" t="s">
        <v>76</v>
      </c>
      <c r="B40" s="1">
        <v>166650</v>
      </c>
      <c r="C40" s="2">
        <v>0.55449999999999999</v>
      </c>
      <c r="D40" s="2">
        <v>0.39810000000000001</v>
      </c>
      <c r="E40" s="2">
        <v>4.7399999999999998E-2</v>
      </c>
      <c r="F40" s="1">
        <v>164000</v>
      </c>
      <c r="G40" s="1">
        <v>2650</v>
      </c>
      <c r="H40" s="1">
        <v>62424</v>
      </c>
      <c r="I40" s="1">
        <v>104226</v>
      </c>
      <c r="J40" s="2">
        <v>0.70269999999999999</v>
      </c>
      <c r="K40" s="2">
        <v>3.4599999999999999E-2</v>
      </c>
      <c r="L40" s="2">
        <v>2.2700000000000001E-2</v>
      </c>
      <c r="M40" s="2">
        <v>5.6000000000000001E-2</v>
      </c>
      <c r="N40" s="2">
        <v>0.14680000000000001</v>
      </c>
      <c r="O40" s="2">
        <v>3.7199999999999997E-2</v>
      </c>
      <c r="P40" s="2">
        <v>0.44180000000000003</v>
      </c>
      <c r="Q40" s="2">
        <v>2.24E-2</v>
      </c>
      <c r="R40">
        <v>3.91</v>
      </c>
      <c r="S40" s="1">
        <v>2234859</v>
      </c>
      <c r="T40" s="2">
        <v>8.5099999999999995E-2</v>
      </c>
      <c r="U40" s="3">
        <v>40.28</v>
      </c>
      <c r="V40" s="1">
        <v>530572</v>
      </c>
      <c r="W40" s="2">
        <v>4.2999999999999997E-2</v>
      </c>
      <c r="X40" s="3">
        <v>18.93</v>
      </c>
      <c r="Y40" s="1">
        <v>230440</v>
      </c>
      <c r="Z40" s="2">
        <v>3.8300000000000001E-2</v>
      </c>
      <c r="AA40" s="3">
        <v>9.23</v>
      </c>
      <c r="AB40" s="1">
        <v>68938</v>
      </c>
      <c r="AC40" s="2">
        <v>6.0000000000000001E-3</v>
      </c>
      <c r="AD40" s="3">
        <v>17.57</v>
      </c>
      <c r="AE40" s="1">
        <v>575459</v>
      </c>
      <c r="AF40" s="2">
        <v>7.2800000000000004E-2</v>
      </c>
      <c r="AG40" s="3">
        <v>12.11</v>
      </c>
    </row>
    <row r="41" spans="1:33" x14ac:dyDescent="0.75">
      <c r="A41" t="s">
        <v>77</v>
      </c>
      <c r="B41" s="1">
        <v>166596</v>
      </c>
      <c r="C41" s="2">
        <v>0.52500000000000002</v>
      </c>
      <c r="D41" s="2">
        <v>0.44969999999999999</v>
      </c>
      <c r="E41" s="2">
        <v>2.53E-2</v>
      </c>
      <c r="F41" s="1">
        <v>164323</v>
      </c>
      <c r="G41" s="1">
        <v>2273</v>
      </c>
      <c r="H41" s="1">
        <v>57063</v>
      </c>
      <c r="I41" s="1">
        <v>109533</v>
      </c>
      <c r="J41" s="2">
        <v>0.70450000000000002</v>
      </c>
      <c r="K41" s="2">
        <v>1.3599999999999999E-2</v>
      </c>
      <c r="L41" s="2">
        <v>1.72E-2</v>
      </c>
      <c r="M41" s="2">
        <v>5.8200000000000002E-2</v>
      </c>
      <c r="N41" s="2">
        <v>0.16289999999999999</v>
      </c>
      <c r="O41" s="2">
        <v>4.3700000000000003E-2</v>
      </c>
      <c r="P41" s="2">
        <v>0.44440000000000002</v>
      </c>
      <c r="Q41" s="2">
        <v>2.5499999999999998E-2</v>
      </c>
      <c r="R41">
        <v>4.43</v>
      </c>
      <c r="S41" s="1">
        <v>2863761</v>
      </c>
      <c r="T41" s="2">
        <v>9.7299999999999998E-2</v>
      </c>
      <c r="U41" s="3">
        <v>39.880000000000003</v>
      </c>
      <c r="V41" s="1">
        <v>628651</v>
      </c>
      <c r="W41" s="2">
        <v>4.48E-2</v>
      </c>
      <c r="X41" s="3">
        <v>19.02</v>
      </c>
      <c r="Y41" s="1">
        <v>141079</v>
      </c>
      <c r="Z41" s="2">
        <v>2.1000000000000001E-2</v>
      </c>
      <c r="AA41" s="3">
        <v>9.11</v>
      </c>
      <c r="AB41" s="1">
        <v>278959</v>
      </c>
      <c r="AC41" s="2">
        <v>2.9000000000000001E-2</v>
      </c>
      <c r="AD41" s="3">
        <v>13.02</v>
      </c>
      <c r="AE41" s="1">
        <v>828718</v>
      </c>
      <c r="AF41" s="2">
        <v>9.8900000000000002E-2</v>
      </c>
      <c r="AG41" s="3">
        <v>11.36</v>
      </c>
    </row>
    <row r="42" spans="1:33" x14ac:dyDescent="0.75">
      <c r="A42" t="s">
        <v>78</v>
      </c>
      <c r="B42" s="1">
        <v>165826</v>
      </c>
      <c r="C42" s="2">
        <v>0.59989999999999999</v>
      </c>
      <c r="D42" s="2">
        <v>0.40010000000000001</v>
      </c>
      <c r="E42" s="2">
        <v>0</v>
      </c>
      <c r="F42" s="1">
        <v>160692</v>
      </c>
      <c r="G42" s="1">
        <v>5134</v>
      </c>
      <c r="H42" s="1">
        <v>69019</v>
      </c>
      <c r="I42" s="1">
        <v>96807</v>
      </c>
      <c r="J42" s="2">
        <v>0.70130000000000003</v>
      </c>
      <c r="K42" s="2">
        <v>4.2599999999999999E-2</v>
      </c>
      <c r="L42" s="2">
        <v>1.1900000000000001E-2</v>
      </c>
      <c r="M42" s="2">
        <v>5.57E-2</v>
      </c>
      <c r="N42" s="2">
        <v>0.1449</v>
      </c>
      <c r="O42" s="2">
        <v>4.3700000000000003E-2</v>
      </c>
      <c r="P42" s="2">
        <v>0.51480000000000004</v>
      </c>
      <c r="Q42" s="2">
        <v>1.67E-2</v>
      </c>
      <c r="R42">
        <v>3.85</v>
      </c>
      <c r="S42" s="1">
        <v>2674520</v>
      </c>
      <c r="T42" s="2">
        <v>0.12620000000000001</v>
      </c>
      <c r="U42" s="3">
        <v>33.17</v>
      </c>
      <c r="V42" s="1">
        <v>867624</v>
      </c>
      <c r="W42" s="2">
        <v>8.1900000000000001E-2</v>
      </c>
      <c r="X42" s="3">
        <v>16.579999999999998</v>
      </c>
      <c r="Y42" s="1">
        <v>288782</v>
      </c>
      <c r="Z42" s="2">
        <v>4.9200000000000001E-2</v>
      </c>
      <c r="AA42" s="3">
        <v>9.19</v>
      </c>
      <c r="AB42" s="1">
        <v>1220455</v>
      </c>
      <c r="AC42" s="2">
        <v>0.14929999999999999</v>
      </c>
      <c r="AD42" s="3">
        <v>12.79</v>
      </c>
      <c r="AE42" s="1">
        <v>915418</v>
      </c>
      <c r="AF42" s="2">
        <v>8.4599999999999995E-2</v>
      </c>
      <c r="AG42" s="3">
        <v>16.93</v>
      </c>
    </row>
    <row r="43" spans="1:33" x14ac:dyDescent="0.75">
      <c r="A43" t="s">
        <v>79</v>
      </c>
      <c r="B43" s="1">
        <v>164256</v>
      </c>
      <c r="C43" s="2">
        <v>0.45600000000000002</v>
      </c>
      <c r="D43" s="2">
        <v>0.45989999999999998</v>
      </c>
      <c r="E43" s="2">
        <v>8.4099999999999994E-2</v>
      </c>
      <c r="F43" s="1">
        <v>163482</v>
      </c>
      <c r="G43">
        <v>774</v>
      </c>
      <c r="H43" s="1">
        <v>54359</v>
      </c>
      <c r="I43" s="1">
        <v>109897</v>
      </c>
      <c r="J43" s="2">
        <v>0.68069999999999997</v>
      </c>
      <c r="K43" s="2">
        <v>3.15E-2</v>
      </c>
      <c r="L43" s="2">
        <v>3.2599999999999997E-2</v>
      </c>
      <c r="M43" s="2">
        <v>6.1899999999999997E-2</v>
      </c>
      <c r="N43" s="2">
        <v>0.15090000000000001</v>
      </c>
      <c r="O43" s="2">
        <v>4.2500000000000003E-2</v>
      </c>
      <c r="P43" s="2">
        <v>0.44030000000000002</v>
      </c>
      <c r="Q43" s="2">
        <v>3.49E-2</v>
      </c>
      <c r="R43">
        <v>3.32</v>
      </c>
      <c r="S43" s="1">
        <v>2755474</v>
      </c>
      <c r="T43" s="2">
        <v>0.1164</v>
      </c>
      <c r="U43" s="3">
        <v>43.42</v>
      </c>
      <c r="V43" s="1">
        <v>800830</v>
      </c>
      <c r="W43" s="2">
        <v>7.0900000000000005E-2</v>
      </c>
      <c r="X43" s="3">
        <v>20.72</v>
      </c>
      <c r="Y43" s="1">
        <v>373713</v>
      </c>
      <c r="Z43" s="2">
        <v>7.0499999999999993E-2</v>
      </c>
      <c r="AA43" s="3">
        <v>9.73</v>
      </c>
      <c r="AB43" s="1">
        <v>1502475</v>
      </c>
      <c r="AC43" s="2">
        <v>0.19400000000000001</v>
      </c>
      <c r="AD43" s="3">
        <v>14.21</v>
      </c>
      <c r="AE43" s="1">
        <v>793851</v>
      </c>
      <c r="AF43" s="2">
        <v>0.1129</v>
      </c>
      <c r="AG43" s="3">
        <v>12.89</v>
      </c>
    </row>
    <row r="44" spans="1:33" x14ac:dyDescent="0.75">
      <c r="A44" t="s">
        <v>80</v>
      </c>
      <c r="B44" s="1">
        <v>153494</v>
      </c>
      <c r="C44" s="2">
        <v>0.37409999999999999</v>
      </c>
      <c r="D44" s="2">
        <v>0.59699999999999998</v>
      </c>
      <c r="E44" s="2">
        <v>2.8799999999999999E-2</v>
      </c>
      <c r="F44" s="1">
        <v>147219</v>
      </c>
      <c r="G44" s="1">
        <v>6275</v>
      </c>
      <c r="H44" s="1">
        <v>31303</v>
      </c>
      <c r="I44" s="1">
        <v>122191</v>
      </c>
      <c r="J44" s="2">
        <v>0.63649999999999995</v>
      </c>
      <c r="K44" s="2">
        <v>7.1000000000000004E-3</v>
      </c>
      <c r="L44" s="2">
        <v>8.2400000000000001E-2</v>
      </c>
      <c r="M44" s="2">
        <v>4.65E-2</v>
      </c>
      <c r="N44" s="2">
        <v>0.1552</v>
      </c>
      <c r="O44" s="2">
        <v>7.22E-2</v>
      </c>
      <c r="P44" s="2">
        <v>0.32800000000000001</v>
      </c>
      <c r="Q44" s="2">
        <v>1.6899999999999998E-2</v>
      </c>
      <c r="R44">
        <v>5.59</v>
      </c>
      <c r="S44" s="1">
        <v>3847300</v>
      </c>
      <c r="T44" s="2">
        <v>0.1356</v>
      </c>
      <c r="U44" s="3">
        <v>33.04</v>
      </c>
      <c r="V44" s="1">
        <v>446731</v>
      </c>
      <c r="W44" s="2">
        <v>3.3599999999999998E-2</v>
      </c>
      <c r="X44" s="3">
        <v>15.47</v>
      </c>
      <c r="Y44" s="1">
        <v>406812</v>
      </c>
      <c r="Z44" s="2">
        <v>5.3400000000000003E-2</v>
      </c>
      <c r="AA44" s="3">
        <v>8.8699999999999992</v>
      </c>
      <c r="AB44">
        <v>0</v>
      </c>
      <c r="AE44" s="1">
        <v>1045399</v>
      </c>
      <c r="AF44" s="2">
        <v>9.2799999999999994E-2</v>
      </c>
      <c r="AG44" s="3">
        <v>13.12</v>
      </c>
    </row>
    <row r="45" spans="1:33" x14ac:dyDescent="0.75">
      <c r="A45" t="s">
        <v>81</v>
      </c>
      <c r="B45" s="1">
        <v>147826</v>
      </c>
      <c r="C45" s="2">
        <v>0.3826</v>
      </c>
      <c r="D45" s="2">
        <v>0.57199999999999995</v>
      </c>
      <c r="E45" s="2">
        <v>4.5400000000000003E-2</v>
      </c>
      <c r="F45" s="1">
        <v>135738</v>
      </c>
      <c r="G45" s="1">
        <v>12088</v>
      </c>
      <c r="H45" s="1">
        <v>29297</v>
      </c>
      <c r="I45" s="1">
        <v>118529</v>
      </c>
      <c r="J45" s="2">
        <v>0.55889999999999995</v>
      </c>
      <c r="K45" s="2">
        <v>2.0000000000000001E-4</v>
      </c>
      <c r="L45" s="2">
        <v>0.1371</v>
      </c>
      <c r="M45" s="2">
        <v>5.4800000000000001E-2</v>
      </c>
      <c r="N45" s="2">
        <v>0.18310000000000001</v>
      </c>
      <c r="O45" s="2">
        <v>6.59E-2</v>
      </c>
      <c r="P45" s="2">
        <v>0.33329999999999999</v>
      </c>
      <c r="Q45" s="2">
        <v>1.34E-2</v>
      </c>
      <c r="R45">
        <v>5.94</v>
      </c>
      <c r="S45" s="1">
        <v>2697290</v>
      </c>
      <c r="T45" s="2">
        <v>9.2499999999999999E-2</v>
      </c>
      <c r="U45" s="3">
        <v>33.22</v>
      </c>
      <c r="V45" s="1">
        <v>733278</v>
      </c>
      <c r="W45" s="2">
        <v>5.4899999999999997E-2</v>
      </c>
      <c r="X45" s="3">
        <v>15.21</v>
      </c>
      <c r="Y45" s="1">
        <v>291729</v>
      </c>
      <c r="Z45" s="2">
        <v>3.7999999999999999E-2</v>
      </c>
      <c r="AA45" s="3">
        <v>8.75</v>
      </c>
      <c r="AB45">
        <v>0</v>
      </c>
      <c r="AE45" s="1">
        <v>909684</v>
      </c>
      <c r="AF45" s="2">
        <v>8.1199999999999994E-2</v>
      </c>
      <c r="AG45" s="3">
        <v>12.76</v>
      </c>
    </row>
    <row r="46" spans="1:33" x14ac:dyDescent="0.75">
      <c r="A46" t="s">
        <v>82</v>
      </c>
      <c r="B46" s="1">
        <v>147802</v>
      </c>
      <c r="C46" s="2">
        <v>0.91720000000000002</v>
      </c>
      <c r="D46" s="2">
        <v>0</v>
      </c>
      <c r="E46" s="2">
        <v>8.2799999999999999E-2</v>
      </c>
      <c r="F46" s="1">
        <v>145036</v>
      </c>
      <c r="G46" s="1">
        <v>2766</v>
      </c>
      <c r="H46" s="1">
        <v>67341</v>
      </c>
      <c r="I46" s="1">
        <v>80461</v>
      </c>
      <c r="J46" s="2">
        <v>0.71679999999999999</v>
      </c>
      <c r="K46" s="2">
        <v>3.0700000000000002E-2</v>
      </c>
      <c r="L46" s="2">
        <v>2.0299999999999999E-2</v>
      </c>
      <c r="M46" s="2">
        <v>4.4999999999999998E-2</v>
      </c>
      <c r="N46" s="2">
        <v>0.1535</v>
      </c>
      <c r="O46" s="2">
        <v>3.3799999999999997E-2</v>
      </c>
      <c r="P46" s="2">
        <v>0.50829999999999997</v>
      </c>
      <c r="Q46" s="2">
        <v>3.3599999999999998E-2</v>
      </c>
      <c r="R46">
        <v>3.45</v>
      </c>
      <c r="S46" s="1">
        <v>2073687</v>
      </c>
      <c r="T46" s="2">
        <v>9.4299999999999995E-2</v>
      </c>
      <c r="U46" s="3">
        <v>43.15</v>
      </c>
      <c r="V46" s="1">
        <v>665031</v>
      </c>
      <c r="W46" s="2">
        <v>7.3300000000000004E-2</v>
      </c>
      <c r="X46" s="3">
        <v>17.8</v>
      </c>
      <c r="Y46" s="1">
        <v>425207</v>
      </c>
      <c r="Z46" s="2">
        <v>8.7400000000000005E-2</v>
      </c>
      <c r="AA46" s="3">
        <v>9.5399999999999991</v>
      </c>
      <c r="AB46" s="1">
        <v>254040</v>
      </c>
      <c r="AC46" s="2">
        <v>3.9699999999999999E-2</v>
      </c>
      <c r="AD46" s="3">
        <v>12.55</v>
      </c>
      <c r="AE46" s="1">
        <v>654453</v>
      </c>
      <c r="AF46" s="2">
        <v>0.10639999999999999</v>
      </c>
      <c r="AG46" s="3">
        <v>12.07</v>
      </c>
    </row>
    <row r="47" spans="1:33" x14ac:dyDescent="0.75">
      <c r="A47" t="s">
        <v>83</v>
      </c>
      <c r="B47" s="1">
        <v>140480</v>
      </c>
      <c r="C47" s="2">
        <v>0.57740000000000002</v>
      </c>
      <c r="D47" s="2">
        <v>0.36909999999999998</v>
      </c>
      <c r="E47" s="2">
        <v>5.3499999999999999E-2</v>
      </c>
      <c r="F47" s="1">
        <v>137724</v>
      </c>
      <c r="G47" s="1">
        <v>2756</v>
      </c>
      <c r="H47" s="1">
        <v>57753</v>
      </c>
      <c r="I47" s="1">
        <v>82727</v>
      </c>
      <c r="J47" s="2">
        <v>0.67559999999999998</v>
      </c>
      <c r="K47" s="2">
        <v>2.0199999999999999E-2</v>
      </c>
      <c r="L47" s="2">
        <v>1.61E-2</v>
      </c>
      <c r="M47" s="2">
        <v>6.1199999999999997E-2</v>
      </c>
      <c r="N47" s="2">
        <v>0.18709999999999999</v>
      </c>
      <c r="O47" s="2">
        <v>3.9800000000000002E-2</v>
      </c>
      <c r="P47" s="2">
        <v>0.47960000000000003</v>
      </c>
      <c r="Q47" s="2">
        <v>1.95E-2</v>
      </c>
      <c r="R47">
        <v>3.72</v>
      </c>
      <c r="S47" s="1">
        <v>1607962</v>
      </c>
      <c r="T47" s="2">
        <v>8.0100000000000005E-2</v>
      </c>
      <c r="U47" s="3">
        <v>38.42</v>
      </c>
      <c r="V47" s="1">
        <v>490516</v>
      </c>
      <c r="W47" s="2">
        <v>5.1499999999999997E-2</v>
      </c>
      <c r="X47" s="3">
        <v>18.239999999999998</v>
      </c>
      <c r="Y47" s="1">
        <v>210237</v>
      </c>
      <c r="Z47" s="2">
        <v>4.3700000000000003E-2</v>
      </c>
      <c r="AA47" s="3">
        <v>9.2100000000000009</v>
      </c>
      <c r="AB47" s="1">
        <v>73817</v>
      </c>
      <c r="AC47" s="2">
        <v>1.14E-2</v>
      </c>
      <c r="AD47" s="3">
        <v>12.4</v>
      </c>
      <c r="AE47" s="1">
        <v>556961</v>
      </c>
      <c r="AF47" s="2">
        <v>7.2300000000000003E-2</v>
      </c>
      <c r="AG47" s="3">
        <v>14.73</v>
      </c>
    </row>
    <row r="48" spans="1:33" x14ac:dyDescent="0.75">
      <c r="A48" t="s">
        <v>84</v>
      </c>
      <c r="B48" s="1">
        <v>135602</v>
      </c>
      <c r="C48" s="2">
        <v>0.58860000000000001</v>
      </c>
      <c r="D48" s="2">
        <v>0.40939999999999999</v>
      </c>
      <c r="E48" s="2">
        <v>1.9E-3</v>
      </c>
      <c r="F48" s="1">
        <v>132275</v>
      </c>
      <c r="G48" s="1">
        <v>3327</v>
      </c>
      <c r="H48" s="1">
        <v>48698</v>
      </c>
      <c r="I48" s="1">
        <v>86904</v>
      </c>
      <c r="J48" s="2">
        <v>0.66620000000000001</v>
      </c>
      <c r="K48" s="2">
        <v>2.3599999999999999E-2</v>
      </c>
      <c r="L48" s="2">
        <v>1.6199999999999999E-2</v>
      </c>
      <c r="M48" s="2">
        <v>7.1300000000000002E-2</v>
      </c>
      <c r="N48" s="2">
        <v>0.1812</v>
      </c>
      <c r="O48" s="2">
        <v>4.1599999999999998E-2</v>
      </c>
      <c r="P48" s="2">
        <v>0.44779999999999998</v>
      </c>
      <c r="Q48" s="2">
        <v>3.3700000000000001E-2</v>
      </c>
      <c r="R48">
        <v>3.79</v>
      </c>
      <c r="S48" s="1">
        <v>1724942</v>
      </c>
      <c r="T48" s="2">
        <v>8.8400000000000006E-2</v>
      </c>
      <c r="U48" s="3">
        <v>37.950000000000003</v>
      </c>
      <c r="V48" s="1">
        <v>523810</v>
      </c>
      <c r="W48" s="2">
        <v>5.2900000000000003E-2</v>
      </c>
      <c r="X48" s="3">
        <v>19.28</v>
      </c>
      <c r="Y48" s="1">
        <v>138365</v>
      </c>
      <c r="Z48" s="2">
        <v>2.87E-2</v>
      </c>
      <c r="AA48" s="3">
        <v>9.3699999999999992</v>
      </c>
      <c r="AB48" s="1">
        <v>101082</v>
      </c>
      <c r="AC48" s="2">
        <v>1.0999999999999999E-2</v>
      </c>
      <c r="AD48" s="3">
        <v>17.829999999999998</v>
      </c>
      <c r="AE48" s="1">
        <v>385198</v>
      </c>
      <c r="AF48" s="2">
        <v>5.0099999999999999E-2</v>
      </c>
      <c r="AG48" s="3">
        <v>14.96</v>
      </c>
    </row>
    <row r="49" spans="1:33" x14ac:dyDescent="0.75">
      <c r="A49" t="s">
        <v>85</v>
      </c>
      <c r="B49" s="1">
        <v>132629</v>
      </c>
      <c r="C49" s="2">
        <v>0.50439999999999996</v>
      </c>
      <c r="D49" s="2">
        <v>0.46679999999999999</v>
      </c>
      <c r="E49" s="2">
        <v>2.87E-2</v>
      </c>
      <c r="F49" s="1">
        <v>127800</v>
      </c>
      <c r="G49" s="1">
        <v>4829</v>
      </c>
      <c r="H49" s="1">
        <v>47334</v>
      </c>
      <c r="I49" s="1">
        <v>85295</v>
      </c>
      <c r="J49" s="2">
        <v>0.70030000000000003</v>
      </c>
      <c r="K49" s="2">
        <v>1.2E-2</v>
      </c>
      <c r="L49" s="2">
        <v>1.5299999999999999E-2</v>
      </c>
      <c r="M49" s="2">
        <v>5.7299999999999997E-2</v>
      </c>
      <c r="N49" s="2">
        <v>0.1699</v>
      </c>
      <c r="O49" s="2">
        <v>4.5100000000000001E-2</v>
      </c>
      <c r="P49" s="2">
        <v>0.44269999999999998</v>
      </c>
      <c r="Q49" s="2">
        <v>3.2399999999999998E-2</v>
      </c>
      <c r="R49">
        <v>3.71</v>
      </c>
      <c r="S49" s="1">
        <v>1471613</v>
      </c>
      <c r="T49" s="2">
        <v>7.6300000000000007E-2</v>
      </c>
      <c r="U49" s="3">
        <v>39.21</v>
      </c>
      <c r="V49" s="1">
        <v>329952</v>
      </c>
      <c r="W49" s="2">
        <v>3.27E-2</v>
      </c>
      <c r="X49" s="3">
        <v>20.53</v>
      </c>
      <c r="Y49" s="1">
        <v>74851</v>
      </c>
      <c r="Z49" s="2">
        <v>1.7000000000000001E-2</v>
      </c>
      <c r="AA49" s="3">
        <v>8.9600000000000009</v>
      </c>
      <c r="AB49" s="1">
        <v>2063</v>
      </c>
      <c r="AC49" s="2">
        <v>2.0000000000000001E-4</v>
      </c>
      <c r="AD49" s="3">
        <v>21.65</v>
      </c>
      <c r="AE49" s="1">
        <v>430974</v>
      </c>
      <c r="AF49" s="2">
        <v>7.1300000000000002E-2</v>
      </c>
      <c r="AG49" s="3">
        <v>12.29</v>
      </c>
    </row>
    <row r="50" spans="1:33" x14ac:dyDescent="0.75">
      <c r="A50" t="s">
        <v>86</v>
      </c>
      <c r="B50" s="1">
        <v>131723</v>
      </c>
      <c r="C50" s="2">
        <v>0.63380000000000003</v>
      </c>
      <c r="D50" s="2">
        <v>0.36620000000000003</v>
      </c>
      <c r="E50" s="2">
        <v>0</v>
      </c>
      <c r="F50" s="1">
        <v>127682</v>
      </c>
      <c r="G50" s="1">
        <v>4041</v>
      </c>
      <c r="H50" s="1">
        <v>58727</v>
      </c>
      <c r="I50" s="1">
        <v>72996</v>
      </c>
      <c r="J50" s="2">
        <v>0.70709999999999995</v>
      </c>
      <c r="K50" s="2">
        <v>2.1100000000000001E-2</v>
      </c>
      <c r="L50" s="2">
        <v>1.5800000000000002E-2</v>
      </c>
      <c r="M50" s="2">
        <v>4.65E-2</v>
      </c>
      <c r="N50" s="2">
        <v>0.16289999999999999</v>
      </c>
      <c r="O50" s="2">
        <v>4.6600000000000003E-2</v>
      </c>
      <c r="P50" s="2">
        <v>0.49349999999999999</v>
      </c>
      <c r="Q50" s="2">
        <v>3.4599999999999999E-2</v>
      </c>
      <c r="R50">
        <v>3.94</v>
      </c>
      <c r="S50" s="1">
        <v>2165300</v>
      </c>
      <c r="T50" s="2">
        <v>0.1026</v>
      </c>
      <c r="U50" s="3">
        <v>40.729999999999997</v>
      </c>
      <c r="V50" s="1">
        <v>555009</v>
      </c>
      <c r="W50" s="2">
        <v>5.2200000000000003E-2</v>
      </c>
      <c r="X50" s="3">
        <v>20.52</v>
      </c>
      <c r="Y50" s="1">
        <v>283239</v>
      </c>
      <c r="Z50" s="2">
        <v>5.6800000000000003E-2</v>
      </c>
      <c r="AA50" s="3">
        <v>9.61</v>
      </c>
      <c r="AB50" s="1">
        <v>1880952</v>
      </c>
      <c r="AC50" s="2">
        <v>0.15740000000000001</v>
      </c>
      <c r="AD50" s="3">
        <v>23.06</v>
      </c>
      <c r="AE50" s="1">
        <v>877535</v>
      </c>
      <c r="AF50" s="2">
        <v>0.10009999999999999</v>
      </c>
      <c r="AG50" s="3">
        <v>16.920000000000002</v>
      </c>
    </row>
    <row r="51" spans="1:33" x14ac:dyDescent="0.75">
      <c r="A51" t="s">
        <v>87</v>
      </c>
      <c r="B51" s="1">
        <v>131176</v>
      </c>
      <c r="C51" s="2">
        <v>0.6008</v>
      </c>
      <c r="D51" s="2">
        <v>0.36309999999999998</v>
      </c>
      <c r="E51" s="2">
        <v>3.5999999999999997E-2</v>
      </c>
      <c r="F51" s="1">
        <v>125694</v>
      </c>
      <c r="G51" s="1">
        <v>5482</v>
      </c>
      <c r="H51" s="1">
        <v>52749</v>
      </c>
      <c r="I51" s="1">
        <v>78427</v>
      </c>
      <c r="J51" s="2">
        <v>0.6673</v>
      </c>
      <c r="K51" s="2">
        <v>3.5799999999999998E-2</v>
      </c>
      <c r="L51" s="2">
        <v>2.06E-2</v>
      </c>
      <c r="M51" s="2">
        <v>0.05</v>
      </c>
      <c r="N51" s="2">
        <v>0.17749999999999999</v>
      </c>
      <c r="O51" s="2">
        <v>4.87E-2</v>
      </c>
      <c r="P51" s="2">
        <v>0.4546</v>
      </c>
      <c r="Q51" s="2">
        <v>2.4299999999999999E-2</v>
      </c>
      <c r="R51">
        <v>4.04</v>
      </c>
      <c r="S51" s="1">
        <v>1695073</v>
      </c>
      <c r="T51" s="2">
        <v>8.0399999999999999E-2</v>
      </c>
      <c r="U51" s="3">
        <v>39.78</v>
      </c>
      <c r="V51" s="1">
        <v>455142</v>
      </c>
      <c r="W51" s="2">
        <v>4.1599999999999998E-2</v>
      </c>
      <c r="X51" s="3">
        <v>20.64</v>
      </c>
      <c r="Y51" s="1">
        <v>260566</v>
      </c>
      <c r="Z51" s="2">
        <v>5.3100000000000001E-2</v>
      </c>
      <c r="AA51" s="3">
        <v>9.25</v>
      </c>
      <c r="AB51" s="1">
        <v>143758</v>
      </c>
      <c r="AC51" s="2">
        <v>2.0299999999999999E-2</v>
      </c>
      <c r="AD51" s="3">
        <v>13.35</v>
      </c>
      <c r="AE51" s="1">
        <v>484381</v>
      </c>
      <c r="AF51" s="2">
        <v>7.85E-2</v>
      </c>
      <c r="AG51" s="3">
        <v>11.64</v>
      </c>
    </row>
    <row r="52" spans="1:33" x14ac:dyDescent="0.75">
      <c r="A52" t="s">
        <v>88</v>
      </c>
      <c r="B52" s="1">
        <v>123079</v>
      </c>
      <c r="C52" s="2">
        <v>0.58440000000000003</v>
      </c>
      <c r="D52" s="2">
        <v>0.3906</v>
      </c>
      <c r="E52" s="2">
        <v>2.5000000000000001E-2</v>
      </c>
      <c r="F52" s="1">
        <v>121653</v>
      </c>
      <c r="G52" s="1">
        <v>1426</v>
      </c>
      <c r="H52" s="1">
        <v>48124</v>
      </c>
      <c r="I52" s="1">
        <v>74955</v>
      </c>
      <c r="J52" s="2">
        <v>0.72719999999999996</v>
      </c>
      <c r="K52" s="2">
        <v>1.8800000000000001E-2</v>
      </c>
      <c r="L52" s="2">
        <v>2.58E-2</v>
      </c>
      <c r="M52" s="2">
        <v>5.0900000000000001E-2</v>
      </c>
      <c r="N52" s="2">
        <v>0.1464</v>
      </c>
      <c r="O52" s="2">
        <v>3.09E-2</v>
      </c>
      <c r="P52" s="2">
        <v>0.48499999999999999</v>
      </c>
      <c r="Q52" s="2">
        <v>1.8700000000000001E-2</v>
      </c>
      <c r="R52">
        <v>3.89</v>
      </c>
      <c r="S52" s="1">
        <v>1596043</v>
      </c>
      <c r="T52" s="2">
        <v>9.0700000000000003E-2</v>
      </c>
      <c r="U52" s="3">
        <v>36.72</v>
      </c>
      <c r="V52" s="1">
        <v>279403</v>
      </c>
      <c r="W52" s="2">
        <v>3.0300000000000001E-2</v>
      </c>
      <c r="X52" s="3">
        <v>19.260000000000002</v>
      </c>
      <c r="Y52" s="1">
        <v>262366</v>
      </c>
      <c r="Z52" s="2">
        <v>5.8400000000000001E-2</v>
      </c>
      <c r="AA52" s="3">
        <v>9.3800000000000008</v>
      </c>
      <c r="AB52" s="1">
        <v>385072</v>
      </c>
      <c r="AC52" s="2">
        <v>4.07E-2</v>
      </c>
      <c r="AD52" s="3">
        <v>19.73</v>
      </c>
      <c r="AE52" s="1">
        <v>597771</v>
      </c>
      <c r="AF52" s="2">
        <v>9.1399999999999995E-2</v>
      </c>
      <c r="AG52" s="3">
        <v>13.65</v>
      </c>
    </row>
    <row r="53" spans="1:33" x14ac:dyDescent="0.75">
      <c r="A53" t="s">
        <v>89</v>
      </c>
      <c r="B53" s="1">
        <v>123054</v>
      </c>
      <c r="C53" s="2">
        <v>0.48359999999999997</v>
      </c>
      <c r="D53" s="2">
        <v>0.51639999999999997</v>
      </c>
      <c r="E53" s="2">
        <v>0</v>
      </c>
      <c r="F53" s="1">
        <v>121535</v>
      </c>
      <c r="G53" s="1">
        <v>1519</v>
      </c>
      <c r="H53" s="1">
        <v>50511</v>
      </c>
      <c r="I53" s="1">
        <v>72543</v>
      </c>
      <c r="J53" s="2">
        <v>0.69069999999999998</v>
      </c>
      <c r="K53" s="2">
        <v>5.4999999999999997E-3</v>
      </c>
      <c r="L53" s="2">
        <v>3.0800000000000001E-2</v>
      </c>
      <c r="M53" s="2">
        <v>3.5400000000000001E-2</v>
      </c>
      <c r="N53" s="2">
        <v>0.19409999999999999</v>
      </c>
      <c r="O53" s="2">
        <v>4.36E-2</v>
      </c>
      <c r="P53" s="2">
        <v>0.3654</v>
      </c>
      <c r="Q53" s="2">
        <v>4.2700000000000002E-2</v>
      </c>
      <c r="R53">
        <v>5.05</v>
      </c>
      <c r="S53" s="1">
        <v>1680352</v>
      </c>
      <c r="T53" s="2">
        <v>7.4899999999999994E-2</v>
      </c>
      <c r="U53" s="3">
        <v>36.11</v>
      </c>
      <c r="V53" s="1">
        <v>654933</v>
      </c>
      <c r="W53" s="2">
        <v>5.6300000000000003E-2</v>
      </c>
      <c r="X53" s="3">
        <v>18.72</v>
      </c>
      <c r="Y53" s="1">
        <v>261951</v>
      </c>
      <c r="Z53" s="2">
        <v>4.6199999999999998E-2</v>
      </c>
      <c r="AA53" s="3">
        <v>9.1300000000000008</v>
      </c>
      <c r="AB53" s="1">
        <v>140985</v>
      </c>
      <c r="AC53" s="2">
        <v>8.8999999999999999E-3</v>
      </c>
      <c r="AD53" s="3">
        <v>25.48</v>
      </c>
      <c r="AE53" s="1">
        <v>458447</v>
      </c>
      <c r="AF53" s="2">
        <v>7.0900000000000005E-2</v>
      </c>
      <c r="AG53" s="3">
        <v>10.41</v>
      </c>
    </row>
    <row r="54" spans="1:33" x14ac:dyDescent="0.75">
      <c r="A54" t="s">
        <v>90</v>
      </c>
      <c r="B54" s="1">
        <v>121389</v>
      </c>
      <c r="C54" s="2">
        <v>0.58440000000000003</v>
      </c>
      <c r="D54" s="2">
        <v>0.41560000000000002</v>
      </c>
      <c r="E54" s="2">
        <v>0</v>
      </c>
      <c r="F54" s="1">
        <v>118673</v>
      </c>
      <c r="G54" s="1">
        <v>2716</v>
      </c>
      <c r="H54" s="1">
        <v>48710</v>
      </c>
      <c r="I54" s="1">
        <v>72679</v>
      </c>
      <c r="J54" s="2">
        <v>0.70630000000000004</v>
      </c>
      <c r="K54" s="2">
        <v>1.37E-2</v>
      </c>
      <c r="L54" s="2">
        <v>3.2099999999999997E-2</v>
      </c>
      <c r="M54" s="2">
        <v>4.6199999999999998E-2</v>
      </c>
      <c r="N54" s="2">
        <v>0.16259999999999999</v>
      </c>
      <c r="O54" s="2">
        <v>3.9100000000000003E-2</v>
      </c>
      <c r="P54" s="2">
        <v>0.48709999999999998</v>
      </c>
      <c r="Q54" s="2">
        <v>3.1E-2</v>
      </c>
      <c r="R54">
        <v>3.7</v>
      </c>
      <c r="S54" s="1">
        <v>1657925</v>
      </c>
      <c r="T54" s="2">
        <v>9.4500000000000001E-2</v>
      </c>
      <c r="U54" s="3">
        <v>39.07</v>
      </c>
      <c r="V54" s="1">
        <v>398745</v>
      </c>
      <c r="W54" s="2">
        <v>4.7899999999999998E-2</v>
      </c>
      <c r="X54" s="3">
        <v>18.52</v>
      </c>
      <c r="Y54" s="1">
        <v>146109</v>
      </c>
      <c r="Z54" s="2">
        <v>3.5000000000000003E-2</v>
      </c>
      <c r="AA54" s="3">
        <v>9.2799999999999994</v>
      </c>
      <c r="AB54" s="1">
        <v>368290</v>
      </c>
      <c r="AC54" s="2">
        <v>3.32E-2</v>
      </c>
      <c r="AD54" s="3">
        <v>24.71</v>
      </c>
      <c r="AE54" s="1">
        <v>772556</v>
      </c>
      <c r="AF54" s="2">
        <v>0.1116</v>
      </c>
      <c r="AG54" s="3">
        <v>15.42</v>
      </c>
    </row>
    <row r="55" spans="1:33" x14ac:dyDescent="0.75">
      <c r="A55" t="s">
        <v>91</v>
      </c>
      <c r="B55" s="1">
        <v>117255</v>
      </c>
      <c r="C55" s="2">
        <v>0.52639999999999998</v>
      </c>
      <c r="D55" s="2">
        <v>0.47360000000000002</v>
      </c>
      <c r="E55" s="2">
        <v>0</v>
      </c>
      <c r="F55" s="1">
        <v>114792</v>
      </c>
      <c r="G55" s="1">
        <v>2463</v>
      </c>
      <c r="H55" s="1">
        <v>37833</v>
      </c>
      <c r="I55" s="1">
        <v>79422</v>
      </c>
      <c r="J55" s="2">
        <v>0.64739999999999998</v>
      </c>
      <c r="K55" s="2">
        <v>1.52E-2</v>
      </c>
      <c r="L55" s="2">
        <v>2.58E-2</v>
      </c>
      <c r="M55" s="2">
        <v>8.4599999999999995E-2</v>
      </c>
      <c r="N55" s="2">
        <v>0.18970000000000001</v>
      </c>
      <c r="O55" s="2">
        <v>3.7199999999999997E-2</v>
      </c>
      <c r="P55" s="2">
        <v>0.42199999999999999</v>
      </c>
      <c r="Q55" s="2">
        <v>2.3400000000000001E-2</v>
      </c>
      <c r="R55">
        <v>4.32</v>
      </c>
      <c r="S55" s="1">
        <v>1725801</v>
      </c>
      <c r="T55" s="2">
        <v>8.9899999999999994E-2</v>
      </c>
      <c r="U55" s="3">
        <v>37.93</v>
      </c>
      <c r="V55" s="1">
        <v>351458</v>
      </c>
      <c r="W55" s="2">
        <v>3.8899999999999997E-2</v>
      </c>
      <c r="X55" s="3">
        <v>17.850000000000001</v>
      </c>
      <c r="Y55" s="1">
        <v>160700</v>
      </c>
      <c r="Z55" s="2">
        <v>3.44E-2</v>
      </c>
      <c r="AA55" s="3">
        <v>9.24</v>
      </c>
      <c r="AB55" s="1">
        <v>11083</v>
      </c>
      <c r="AC55" s="2">
        <v>8.9999999999999998E-4</v>
      </c>
      <c r="AD55" s="3">
        <v>23.65</v>
      </c>
      <c r="AE55" s="1">
        <v>479189</v>
      </c>
      <c r="AF55" s="2">
        <v>9.1899999999999996E-2</v>
      </c>
      <c r="AG55" s="3">
        <v>10.3</v>
      </c>
    </row>
    <row r="56" spans="1:33" x14ac:dyDescent="0.75">
      <c r="A56" t="s">
        <v>92</v>
      </c>
      <c r="B56" s="1">
        <v>115089</v>
      </c>
      <c r="C56" s="2">
        <v>0.5081</v>
      </c>
      <c r="D56" s="2">
        <v>0.43380000000000002</v>
      </c>
      <c r="E56" s="2">
        <v>5.8099999999999999E-2</v>
      </c>
      <c r="F56" s="1">
        <v>114308</v>
      </c>
      <c r="G56">
        <v>781</v>
      </c>
      <c r="H56" s="1">
        <v>40742</v>
      </c>
      <c r="I56" s="1">
        <v>74347</v>
      </c>
      <c r="J56" s="2">
        <v>0.70050000000000001</v>
      </c>
      <c r="K56" s="2">
        <v>3.5499999999999997E-2</v>
      </c>
      <c r="L56" s="2">
        <v>2.0899999999999998E-2</v>
      </c>
      <c r="M56" s="2">
        <v>5.3100000000000001E-2</v>
      </c>
      <c r="N56" s="2">
        <v>0.1522</v>
      </c>
      <c r="O56" s="2">
        <v>3.7900000000000003E-2</v>
      </c>
      <c r="P56" s="2">
        <v>0.44479999999999997</v>
      </c>
      <c r="Q56" s="2">
        <v>3.4200000000000001E-2</v>
      </c>
      <c r="R56">
        <v>3.34</v>
      </c>
      <c r="S56" s="1">
        <v>2016737</v>
      </c>
      <c r="T56" s="2">
        <v>0.11899999999999999</v>
      </c>
      <c r="U56" s="3">
        <v>44.05</v>
      </c>
      <c r="V56" s="1">
        <v>480853</v>
      </c>
      <c r="W56" s="2">
        <v>5.9799999999999999E-2</v>
      </c>
      <c r="X56" s="3">
        <v>20.92</v>
      </c>
      <c r="Y56" s="1">
        <v>197644</v>
      </c>
      <c r="Z56" s="2">
        <v>5.2999999999999999E-2</v>
      </c>
      <c r="AA56" s="3">
        <v>9.69</v>
      </c>
      <c r="AB56" s="1">
        <v>762354</v>
      </c>
      <c r="AC56" s="2">
        <v>0.1419</v>
      </c>
      <c r="AD56" s="3">
        <v>13.97</v>
      </c>
      <c r="AE56" s="1">
        <v>316043</v>
      </c>
      <c r="AF56" s="2">
        <v>6.4199999999999993E-2</v>
      </c>
      <c r="AG56" s="3">
        <v>12.79</v>
      </c>
    </row>
    <row r="57" spans="1:33" x14ac:dyDescent="0.75">
      <c r="A57" t="s">
        <v>93</v>
      </c>
      <c r="B57" s="1">
        <v>114257</v>
      </c>
      <c r="C57" s="2">
        <v>0.52729999999999999</v>
      </c>
      <c r="D57" s="2">
        <v>0.4098</v>
      </c>
      <c r="E57" s="2">
        <v>6.2899999999999998E-2</v>
      </c>
      <c r="F57" s="1">
        <v>112924</v>
      </c>
      <c r="G57" s="1">
        <v>1333</v>
      </c>
      <c r="H57" s="1">
        <v>41765</v>
      </c>
      <c r="I57" s="1">
        <v>72492</v>
      </c>
      <c r="J57" s="2">
        <v>0.69110000000000005</v>
      </c>
      <c r="K57" s="2">
        <v>2.07E-2</v>
      </c>
      <c r="L57" s="2">
        <v>3.2800000000000003E-2</v>
      </c>
      <c r="M57" s="2">
        <v>5.6300000000000003E-2</v>
      </c>
      <c r="N57" s="2">
        <v>0.1691</v>
      </c>
      <c r="O57" s="2">
        <v>2.9899999999999999E-2</v>
      </c>
      <c r="P57" s="2">
        <v>0.41830000000000001</v>
      </c>
      <c r="Q57" s="2">
        <v>2.5000000000000001E-2</v>
      </c>
      <c r="R57">
        <v>4.3499999999999996</v>
      </c>
      <c r="S57" s="1">
        <v>1968975</v>
      </c>
      <c r="T57" s="2">
        <v>0.1046</v>
      </c>
      <c r="U57" s="3">
        <v>37.89</v>
      </c>
      <c r="V57" s="1">
        <v>363443</v>
      </c>
      <c r="W57" s="2">
        <v>4.6899999999999997E-2</v>
      </c>
      <c r="X57" s="3">
        <v>15.6</v>
      </c>
      <c r="Y57" s="1">
        <v>171292</v>
      </c>
      <c r="Z57" s="2">
        <v>3.8399999999999997E-2</v>
      </c>
      <c r="AA57" s="3">
        <v>8.9700000000000006</v>
      </c>
      <c r="AB57">
        <v>0</v>
      </c>
      <c r="AE57" s="1">
        <v>548801</v>
      </c>
      <c r="AF57" s="2">
        <v>0.1056</v>
      </c>
      <c r="AG57" s="3">
        <v>10.46</v>
      </c>
    </row>
    <row r="58" spans="1:33" x14ac:dyDescent="0.75">
      <c r="A58" t="s">
        <v>94</v>
      </c>
      <c r="B58" s="1">
        <v>112400</v>
      </c>
      <c r="C58" s="2">
        <v>0.4788</v>
      </c>
      <c r="D58" s="2">
        <v>0.5212</v>
      </c>
      <c r="E58" s="2">
        <v>0</v>
      </c>
      <c r="F58" s="1">
        <v>111310</v>
      </c>
      <c r="G58" s="1">
        <v>1090</v>
      </c>
      <c r="H58" s="1">
        <v>31740</v>
      </c>
      <c r="I58" s="1">
        <v>80660</v>
      </c>
      <c r="J58" s="2">
        <v>0.66800000000000004</v>
      </c>
      <c r="K58" s="2">
        <v>2.69E-2</v>
      </c>
      <c r="L58" s="2">
        <v>1.2800000000000001E-2</v>
      </c>
      <c r="M58" s="2">
        <v>5.45E-2</v>
      </c>
      <c r="N58" s="2">
        <v>0.18310000000000001</v>
      </c>
      <c r="O58" s="2">
        <v>5.4699999999999999E-2</v>
      </c>
      <c r="P58" s="2">
        <v>0.40489999999999998</v>
      </c>
      <c r="Q58" s="2">
        <v>2.1499999999999998E-2</v>
      </c>
      <c r="R58">
        <v>3.63</v>
      </c>
      <c r="S58" s="1">
        <v>1663084</v>
      </c>
      <c r="T58" s="2">
        <v>0.1024</v>
      </c>
      <c r="U58" s="3">
        <v>39.75</v>
      </c>
      <c r="V58" s="1">
        <v>354824</v>
      </c>
      <c r="W58" s="2">
        <v>4.3400000000000001E-2</v>
      </c>
      <c r="X58" s="3">
        <v>20.02</v>
      </c>
      <c r="Y58" s="1">
        <v>162214</v>
      </c>
      <c r="Z58" s="2">
        <v>4.2099999999999999E-2</v>
      </c>
      <c r="AA58" s="3">
        <v>9.43</v>
      </c>
      <c r="AB58" s="1">
        <v>569932</v>
      </c>
      <c r="AC58" s="2">
        <v>0.1104</v>
      </c>
      <c r="AD58" s="3">
        <v>12.64</v>
      </c>
      <c r="AE58" s="1">
        <v>870131</v>
      </c>
      <c r="AF58" s="2">
        <v>0.1331</v>
      </c>
      <c r="AG58" s="3">
        <v>16.010000000000002</v>
      </c>
    </row>
    <row r="59" spans="1:33" x14ac:dyDescent="0.75">
      <c r="A59" t="s">
        <v>95</v>
      </c>
      <c r="B59" s="1">
        <v>112071</v>
      </c>
      <c r="C59" s="2">
        <v>0.62129999999999996</v>
      </c>
      <c r="D59" s="2">
        <v>0.34789999999999999</v>
      </c>
      <c r="E59" s="2">
        <v>3.0800000000000001E-2</v>
      </c>
      <c r="F59" s="1">
        <v>108404</v>
      </c>
      <c r="G59" s="1">
        <v>3667</v>
      </c>
      <c r="H59" s="1">
        <v>50426</v>
      </c>
      <c r="I59" s="1">
        <v>61645</v>
      </c>
      <c r="J59" s="2">
        <v>0.71409999999999996</v>
      </c>
      <c r="K59" s="2">
        <v>2.3300000000000001E-2</v>
      </c>
      <c r="L59" s="2">
        <v>1.3599999999999999E-2</v>
      </c>
      <c r="M59" s="2">
        <v>6.5699999999999995E-2</v>
      </c>
      <c r="N59" s="2">
        <v>0.1484</v>
      </c>
      <c r="O59" s="2">
        <v>3.5000000000000003E-2</v>
      </c>
      <c r="P59" s="2">
        <v>0.5222</v>
      </c>
      <c r="Q59" s="2">
        <v>2.23E-2</v>
      </c>
      <c r="R59">
        <v>3.49</v>
      </c>
      <c r="S59" s="1">
        <v>1065985</v>
      </c>
      <c r="T59" s="2">
        <v>7.1900000000000006E-2</v>
      </c>
      <c r="U59" s="3">
        <v>37.869999999999997</v>
      </c>
      <c r="V59" s="1">
        <v>377185</v>
      </c>
      <c r="W59" s="2">
        <v>4.8300000000000003E-2</v>
      </c>
      <c r="X59" s="3">
        <v>19.95</v>
      </c>
      <c r="Y59" s="1">
        <v>117443</v>
      </c>
      <c r="Z59" s="2">
        <v>3.3700000000000001E-2</v>
      </c>
      <c r="AA59" s="3">
        <v>8.91</v>
      </c>
      <c r="AB59" s="1">
        <v>40616</v>
      </c>
      <c r="AC59" s="2">
        <v>5.7999999999999996E-3</v>
      </c>
      <c r="AD59" s="3">
        <v>17.82</v>
      </c>
      <c r="AE59" s="1">
        <v>338764</v>
      </c>
      <c r="AF59" s="2">
        <v>7.0800000000000002E-2</v>
      </c>
      <c r="AG59" s="3">
        <v>12.23</v>
      </c>
    </row>
    <row r="60" spans="1:33" x14ac:dyDescent="0.75">
      <c r="A60" t="s">
        <v>96</v>
      </c>
      <c r="B60" s="1">
        <v>108256</v>
      </c>
      <c r="C60" s="2">
        <v>0.4783</v>
      </c>
      <c r="D60" s="2">
        <v>0.52170000000000005</v>
      </c>
      <c r="E60" s="2">
        <v>0</v>
      </c>
      <c r="F60" s="1">
        <v>104427</v>
      </c>
      <c r="G60" s="1">
        <v>3829</v>
      </c>
      <c r="H60" s="1">
        <v>29911</v>
      </c>
      <c r="I60" s="1">
        <v>78345</v>
      </c>
      <c r="J60" s="2">
        <v>0.65590000000000004</v>
      </c>
      <c r="K60" s="2">
        <v>1.3899999999999999E-2</v>
      </c>
      <c r="L60" s="2">
        <v>2.2599999999999999E-2</v>
      </c>
      <c r="M60" s="2">
        <v>0.04</v>
      </c>
      <c r="N60" s="2">
        <v>0.21099999999999999</v>
      </c>
      <c r="O60" s="2">
        <v>5.6500000000000002E-2</v>
      </c>
      <c r="P60" s="2">
        <v>0.3594</v>
      </c>
      <c r="Q60" s="2">
        <v>3.0099999999999998E-2</v>
      </c>
      <c r="R60">
        <v>4.1100000000000003</v>
      </c>
      <c r="S60" s="1">
        <v>1119272</v>
      </c>
      <c r="T60" s="2">
        <v>0.1474</v>
      </c>
      <c r="U60" s="3">
        <v>17.05</v>
      </c>
      <c r="V60" s="1">
        <v>391430</v>
      </c>
      <c r="W60" s="2">
        <v>4.41E-2</v>
      </c>
      <c r="X60" s="3">
        <v>19.91</v>
      </c>
      <c r="Y60" s="1">
        <v>162125</v>
      </c>
      <c r="Z60" s="2">
        <v>3.9399999999999998E-2</v>
      </c>
      <c r="AA60" s="3">
        <v>9.23</v>
      </c>
      <c r="AB60" s="1">
        <v>211923</v>
      </c>
      <c r="AC60" s="2">
        <v>1.9E-2</v>
      </c>
      <c r="AD60" s="3">
        <v>25.06</v>
      </c>
      <c r="AE60" s="1">
        <v>312511</v>
      </c>
      <c r="AF60" s="2">
        <v>5.0700000000000002E-2</v>
      </c>
      <c r="AG60" s="3">
        <v>13.83</v>
      </c>
    </row>
    <row r="61" spans="1:33" x14ac:dyDescent="0.75">
      <c r="A61" t="s">
        <v>97</v>
      </c>
      <c r="B61" s="1">
        <v>105522</v>
      </c>
      <c r="C61" s="2">
        <v>0.55289999999999995</v>
      </c>
      <c r="D61" s="2">
        <v>0.38379999999999997</v>
      </c>
      <c r="E61" s="2">
        <v>6.3299999999999995E-2</v>
      </c>
      <c r="F61" s="1">
        <v>103822</v>
      </c>
      <c r="G61" s="1">
        <v>1700</v>
      </c>
      <c r="H61" s="1">
        <v>39306</v>
      </c>
      <c r="I61" s="1">
        <v>66216</v>
      </c>
      <c r="J61" s="2">
        <v>0.69469999999999998</v>
      </c>
      <c r="K61" s="2">
        <v>3.5900000000000001E-2</v>
      </c>
      <c r="L61" s="2">
        <v>2.1899999999999999E-2</v>
      </c>
      <c r="M61" s="2">
        <v>5.67E-2</v>
      </c>
      <c r="N61" s="2">
        <v>0.14149999999999999</v>
      </c>
      <c r="O61" s="2">
        <v>4.9200000000000001E-2</v>
      </c>
      <c r="P61" s="2">
        <v>0.42649999999999999</v>
      </c>
      <c r="Q61" s="2">
        <v>3.0800000000000001E-2</v>
      </c>
      <c r="R61">
        <v>4.08</v>
      </c>
      <c r="S61" s="1">
        <v>2063932</v>
      </c>
      <c r="T61" s="2">
        <v>0.14119999999999999</v>
      </c>
      <c r="U61" s="3">
        <v>33.97</v>
      </c>
      <c r="V61" s="1">
        <v>447884</v>
      </c>
      <c r="W61" s="2">
        <v>6.3E-2</v>
      </c>
      <c r="X61" s="3">
        <v>16.52</v>
      </c>
      <c r="Y61" s="1">
        <v>164679</v>
      </c>
      <c r="Z61" s="2">
        <v>4.1700000000000001E-2</v>
      </c>
      <c r="AA61" s="3">
        <v>9.18</v>
      </c>
      <c r="AB61" s="1">
        <v>239965</v>
      </c>
      <c r="AC61" s="2">
        <v>4.3999999999999997E-2</v>
      </c>
      <c r="AD61" s="3">
        <v>12.67</v>
      </c>
      <c r="AE61" s="1">
        <v>309162</v>
      </c>
      <c r="AF61" s="2">
        <v>4.1700000000000001E-2</v>
      </c>
      <c r="AG61" s="3">
        <v>17.23</v>
      </c>
    </row>
    <row r="62" spans="1:33" x14ac:dyDescent="0.75">
      <c r="A62" t="s">
        <v>98</v>
      </c>
      <c r="B62" s="1">
        <v>104892</v>
      </c>
      <c r="C62" s="2">
        <v>0.50929999999999997</v>
      </c>
      <c r="D62" s="2">
        <v>0.49070000000000003</v>
      </c>
      <c r="E62" s="2">
        <v>0</v>
      </c>
      <c r="F62" s="1">
        <v>101705</v>
      </c>
      <c r="G62" s="1">
        <v>3187</v>
      </c>
      <c r="H62" s="1">
        <v>33379</v>
      </c>
      <c r="I62" s="1">
        <v>71513</v>
      </c>
      <c r="J62" s="2">
        <v>0.65139999999999998</v>
      </c>
      <c r="K62" s="2">
        <v>2.7000000000000001E-3</v>
      </c>
      <c r="L62" s="2">
        <v>2.7099999999999999E-2</v>
      </c>
      <c r="M62" s="2">
        <v>8.3400000000000002E-2</v>
      </c>
      <c r="N62" s="2">
        <v>0.19189999999999999</v>
      </c>
      <c r="O62" s="2">
        <v>4.36E-2</v>
      </c>
      <c r="P62" s="2">
        <v>0.4204</v>
      </c>
      <c r="Q62" s="2">
        <v>2.7199999999999998E-2</v>
      </c>
      <c r="R62">
        <v>4</v>
      </c>
      <c r="S62" s="1">
        <v>1372963</v>
      </c>
      <c r="T62" s="2">
        <v>0.10780000000000001</v>
      </c>
      <c r="U62" s="3">
        <v>30.35</v>
      </c>
      <c r="V62" s="1">
        <v>383381</v>
      </c>
      <c r="W62" s="2">
        <v>4.8099999999999997E-2</v>
      </c>
      <c r="X62" s="3">
        <v>18.989999999999998</v>
      </c>
      <c r="Y62" s="1">
        <v>187175</v>
      </c>
      <c r="Z62" s="2">
        <v>4.7699999999999999E-2</v>
      </c>
      <c r="AA62" s="3">
        <v>9.36</v>
      </c>
      <c r="AB62">
        <v>0</v>
      </c>
      <c r="AE62" s="1">
        <v>555209</v>
      </c>
      <c r="AF62" s="2">
        <v>7.5200000000000003E-2</v>
      </c>
      <c r="AG62" s="3">
        <v>17.600000000000001</v>
      </c>
    </row>
    <row r="63" spans="1:33" x14ac:dyDescent="0.75">
      <c r="A63" t="s">
        <v>99</v>
      </c>
      <c r="B63" s="1">
        <v>103454</v>
      </c>
      <c r="C63" s="2">
        <v>0.51490000000000002</v>
      </c>
      <c r="D63" s="2">
        <v>0.46400000000000002</v>
      </c>
      <c r="E63" s="2">
        <v>2.1100000000000001E-2</v>
      </c>
      <c r="F63" s="1">
        <v>100574</v>
      </c>
      <c r="G63" s="1">
        <v>2880</v>
      </c>
      <c r="H63" s="1">
        <v>26893</v>
      </c>
      <c r="I63" s="1">
        <v>76561</v>
      </c>
      <c r="J63" s="2">
        <v>0.64690000000000003</v>
      </c>
      <c r="K63" s="2">
        <v>1.0500000000000001E-2</v>
      </c>
      <c r="L63" s="2">
        <v>2.4299999999999999E-2</v>
      </c>
      <c r="M63" s="2">
        <v>7.51E-2</v>
      </c>
      <c r="N63" s="2">
        <v>0.20749999999999999</v>
      </c>
      <c r="O63" s="2">
        <v>3.5700000000000003E-2</v>
      </c>
      <c r="P63" s="2">
        <v>0.3997</v>
      </c>
      <c r="Q63" s="2">
        <v>3.15E-2</v>
      </c>
      <c r="R63">
        <v>4.66</v>
      </c>
      <c r="S63" s="1">
        <v>1171329</v>
      </c>
      <c r="T63" s="2">
        <v>6.7500000000000004E-2</v>
      </c>
      <c r="U63" s="3">
        <v>35.99</v>
      </c>
      <c r="V63" s="1">
        <v>217344</v>
      </c>
      <c r="W63" s="2">
        <v>2.6599999999999999E-2</v>
      </c>
      <c r="X63" s="3">
        <v>16.93</v>
      </c>
      <c r="Y63" s="1">
        <v>81468</v>
      </c>
      <c r="Z63" s="2">
        <v>1.9400000000000001E-2</v>
      </c>
      <c r="AA63" s="3">
        <v>8.73</v>
      </c>
      <c r="AB63" s="1">
        <v>33474</v>
      </c>
      <c r="AC63" s="2">
        <v>6.0000000000000001E-3</v>
      </c>
      <c r="AD63" s="3">
        <v>11.65</v>
      </c>
      <c r="AE63" s="1">
        <v>374287</v>
      </c>
      <c r="AF63" s="2">
        <v>8.4199999999999997E-2</v>
      </c>
      <c r="AG63" s="3">
        <v>9.23</v>
      </c>
    </row>
    <row r="64" spans="1:33" x14ac:dyDescent="0.75">
      <c r="A64" t="s">
        <v>100</v>
      </c>
      <c r="B64" s="1">
        <v>100216</v>
      </c>
      <c r="C64" s="2">
        <v>0.4924</v>
      </c>
      <c r="D64" s="2">
        <v>0.48649999999999999</v>
      </c>
      <c r="E64" s="2">
        <v>2.1100000000000001E-2</v>
      </c>
      <c r="F64" s="1">
        <v>98942</v>
      </c>
      <c r="G64" s="1">
        <v>1274</v>
      </c>
      <c r="H64" s="1">
        <v>37874</v>
      </c>
      <c r="I64" s="1">
        <v>62342</v>
      </c>
      <c r="J64" s="2">
        <v>0.70889999999999997</v>
      </c>
      <c r="K64" s="2">
        <v>1.6500000000000001E-2</v>
      </c>
      <c r="L64" s="2">
        <v>3.0099999999999998E-2</v>
      </c>
      <c r="M64" s="2">
        <v>3.3500000000000002E-2</v>
      </c>
      <c r="N64" s="2">
        <v>0.17330000000000001</v>
      </c>
      <c r="O64" s="2">
        <v>3.78E-2</v>
      </c>
      <c r="P64" s="2">
        <v>0.41510000000000002</v>
      </c>
      <c r="Q64" s="2">
        <v>3.7699999999999997E-2</v>
      </c>
      <c r="R64">
        <v>4.5</v>
      </c>
      <c r="S64" s="1">
        <v>1442209</v>
      </c>
      <c r="T64" s="2">
        <v>9.1399999999999995E-2</v>
      </c>
      <c r="U64" s="3">
        <v>34.96</v>
      </c>
      <c r="V64" s="1">
        <v>369474</v>
      </c>
      <c r="W64" s="2">
        <v>4.3299999999999998E-2</v>
      </c>
      <c r="X64" s="3">
        <v>18.899999999999999</v>
      </c>
      <c r="Y64" s="1">
        <v>134217</v>
      </c>
      <c r="Z64" s="2">
        <v>3.1800000000000002E-2</v>
      </c>
      <c r="AA64" s="3">
        <v>9.34</v>
      </c>
      <c r="AB64" s="1">
        <v>144562</v>
      </c>
      <c r="AC64" s="2">
        <v>1.1599999999999999E-2</v>
      </c>
      <c r="AD64" s="3">
        <v>27.59</v>
      </c>
      <c r="AE64" s="1">
        <v>310089</v>
      </c>
      <c r="AF64" s="2">
        <v>4.7699999999999999E-2</v>
      </c>
      <c r="AG64" s="3">
        <v>14.39</v>
      </c>
    </row>
    <row r="65" spans="1:33" x14ac:dyDescent="0.75">
      <c r="A65" t="s">
        <v>101</v>
      </c>
      <c r="B65" s="1">
        <v>99397</v>
      </c>
      <c r="C65" s="2">
        <v>0.55159999999999998</v>
      </c>
      <c r="D65" s="2">
        <v>0.44840000000000002</v>
      </c>
      <c r="E65" s="2">
        <v>0</v>
      </c>
      <c r="F65" s="1">
        <v>98380</v>
      </c>
      <c r="G65" s="1">
        <v>1017</v>
      </c>
      <c r="H65" s="1">
        <v>37425</v>
      </c>
      <c r="I65" s="1">
        <v>61972</v>
      </c>
      <c r="J65" s="2">
        <v>0.69930000000000003</v>
      </c>
      <c r="K65" s="2">
        <v>2.6200000000000001E-2</v>
      </c>
      <c r="L65" s="2">
        <v>1.8700000000000001E-2</v>
      </c>
      <c r="M65" s="2">
        <v>4.5999999999999999E-2</v>
      </c>
      <c r="N65" s="2">
        <v>0.1699</v>
      </c>
      <c r="O65" s="2">
        <v>0.04</v>
      </c>
      <c r="P65" s="2">
        <v>0.46150000000000002</v>
      </c>
      <c r="Q65" s="2">
        <v>2.1399999999999999E-2</v>
      </c>
      <c r="R65">
        <v>4.1100000000000003</v>
      </c>
      <c r="S65" s="1">
        <v>1075305</v>
      </c>
      <c r="T65" s="2">
        <v>6.7599999999999993E-2</v>
      </c>
      <c r="U65" s="3">
        <v>38.96</v>
      </c>
      <c r="V65" s="1">
        <v>275822</v>
      </c>
      <c r="W65" s="2">
        <v>3.2899999999999999E-2</v>
      </c>
      <c r="X65" s="3">
        <v>20.52</v>
      </c>
      <c r="Y65" s="1">
        <v>119826</v>
      </c>
      <c r="Z65" s="2">
        <v>3.15E-2</v>
      </c>
      <c r="AA65" s="3">
        <v>9.32</v>
      </c>
      <c r="AB65" s="1">
        <v>133461</v>
      </c>
      <c r="AC65" s="2">
        <v>2.64E-2</v>
      </c>
      <c r="AD65" s="3">
        <v>12.37</v>
      </c>
      <c r="AE65" s="1">
        <v>367686</v>
      </c>
      <c r="AF65" s="2">
        <v>7.5200000000000003E-2</v>
      </c>
      <c r="AG65" s="3">
        <v>11.97</v>
      </c>
    </row>
    <row r="66" spans="1:33" x14ac:dyDescent="0.75">
      <c r="A66" t="s">
        <v>102</v>
      </c>
      <c r="B66" s="1">
        <v>98027</v>
      </c>
      <c r="C66" s="2">
        <v>0.57869999999999999</v>
      </c>
      <c r="D66" s="2">
        <v>0.42130000000000001</v>
      </c>
      <c r="E66" s="2">
        <v>0</v>
      </c>
      <c r="F66" s="1">
        <v>96645</v>
      </c>
      <c r="G66" s="1">
        <v>1382</v>
      </c>
      <c r="H66" s="1">
        <v>40261</v>
      </c>
      <c r="I66" s="1">
        <v>57766</v>
      </c>
      <c r="J66" s="2">
        <v>0.71819999999999995</v>
      </c>
      <c r="K66" s="2">
        <v>3.6200000000000003E-2</v>
      </c>
      <c r="L66" s="2">
        <v>2.8899999999999999E-2</v>
      </c>
      <c r="M66" s="2">
        <v>5.45E-2</v>
      </c>
      <c r="N66" s="2">
        <v>0.13200000000000001</v>
      </c>
      <c r="O66" s="2">
        <v>3.0099999999999998E-2</v>
      </c>
      <c r="P66" s="2">
        <v>0.43559999999999999</v>
      </c>
      <c r="Q66" s="2">
        <v>2.29E-2</v>
      </c>
      <c r="R66">
        <v>4.0999999999999996</v>
      </c>
      <c r="S66" s="1">
        <v>1691325</v>
      </c>
      <c r="T66" s="2">
        <v>0.1033</v>
      </c>
      <c r="U66" s="3">
        <v>40.770000000000003</v>
      </c>
      <c r="V66" s="1">
        <v>229993</v>
      </c>
      <c r="W66" s="2">
        <v>3.3399999999999999E-2</v>
      </c>
      <c r="X66" s="3">
        <v>17.14</v>
      </c>
      <c r="Y66" s="1">
        <v>83215</v>
      </c>
      <c r="Z66" s="2">
        <v>2.2100000000000002E-2</v>
      </c>
      <c r="AA66" s="3">
        <v>9.36</v>
      </c>
      <c r="AB66" s="1">
        <v>299133</v>
      </c>
      <c r="AC66" s="2">
        <v>5.96E-2</v>
      </c>
      <c r="AD66" s="3">
        <v>12.51</v>
      </c>
      <c r="AE66" s="1">
        <v>299623</v>
      </c>
      <c r="AF66" s="2">
        <v>6.0900000000000003E-2</v>
      </c>
      <c r="AG66" s="3">
        <v>12.24</v>
      </c>
    </row>
    <row r="67" spans="1:33" x14ac:dyDescent="0.75">
      <c r="A67" t="s">
        <v>103</v>
      </c>
      <c r="B67" s="1">
        <v>95662</v>
      </c>
      <c r="C67" s="2">
        <v>0.45729999999999998</v>
      </c>
      <c r="D67" s="2">
        <v>0.54269999999999996</v>
      </c>
      <c r="E67" s="2">
        <v>0</v>
      </c>
      <c r="F67" s="1">
        <v>94449</v>
      </c>
      <c r="G67" s="1">
        <v>1213</v>
      </c>
      <c r="H67" s="1">
        <v>28955</v>
      </c>
      <c r="I67" s="1">
        <v>66707</v>
      </c>
      <c r="J67" s="2">
        <v>0.6905</v>
      </c>
      <c r="K67" s="2">
        <v>2.9999999999999997E-4</v>
      </c>
      <c r="L67" s="2">
        <v>1.8200000000000001E-2</v>
      </c>
      <c r="M67" s="2">
        <v>7.2099999999999997E-2</v>
      </c>
      <c r="N67" s="2">
        <v>0.19289999999999999</v>
      </c>
      <c r="O67" s="2">
        <v>2.5999999999999999E-2</v>
      </c>
      <c r="P67" s="2">
        <v>0.36280000000000001</v>
      </c>
      <c r="Q67" s="2">
        <v>3.4599999999999999E-2</v>
      </c>
      <c r="R67">
        <v>3.63</v>
      </c>
      <c r="S67" s="1">
        <v>1258030</v>
      </c>
      <c r="T67" s="2">
        <v>9.5200000000000007E-2</v>
      </c>
      <c r="U67" s="3">
        <v>38.08</v>
      </c>
      <c r="V67" s="1">
        <v>226427</v>
      </c>
      <c r="W67" s="2">
        <v>3.2099999999999997E-2</v>
      </c>
      <c r="X67" s="3">
        <v>20.350000000000001</v>
      </c>
      <c r="Y67" s="1">
        <v>76446</v>
      </c>
      <c r="Z67" s="2">
        <v>2.4199999999999999E-2</v>
      </c>
      <c r="AA67" s="3">
        <v>9.09</v>
      </c>
      <c r="AB67">
        <v>0</v>
      </c>
      <c r="AE67" s="1">
        <v>262854</v>
      </c>
      <c r="AF67" s="2">
        <v>5.5100000000000003E-2</v>
      </c>
      <c r="AG67" s="3">
        <v>13.73</v>
      </c>
    </row>
    <row r="68" spans="1:33" x14ac:dyDescent="0.75">
      <c r="A68" t="s">
        <v>104</v>
      </c>
      <c r="B68" s="1">
        <v>93470</v>
      </c>
      <c r="C68" s="2">
        <v>0.40949999999999998</v>
      </c>
      <c r="D68" s="2">
        <v>0.5635</v>
      </c>
      <c r="E68" s="2">
        <v>2.7E-2</v>
      </c>
      <c r="F68" s="1">
        <v>91710</v>
      </c>
      <c r="G68" s="1">
        <v>1760</v>
      </c>
      <c r="H68" s="1">
        <v>16690</v>
      </c>
      <c r="I68" s="1">
        <v>76780</v>
      </c>
      <c r="J68" s="2">
        <v>0.64929999999999999</v>
      </c>
      <c r="K68" s="2">
        <v>7.4999999999999997E-3</v>
      </c>
      <c r="L68" s="2">
        <v>1.0800000000000001E-2</v>
      </c>
      <c r="M68" s="2">
        <v>4.6600000000000003E-2</v>
      </c>
      <c r="N68" s="2">
        <v>0.21390000000000001</v>
      </c>
      <c r="O68" s="2">
        <v>7.1900000000000006E-2</v>
      </c>
      <c r="P68" s="2">
        <v>0.36249999999999999</v>
      </c>
      <c r="Q68" s="2">
        <v>2.3900000000000001E-2</v>
      </c>
      <c r="R68">
        <v>5.51</v>
      </c>
      <c r="S68" s="1">
        <v>1128098</v>
      </c>
      <c r="T68" s="2">
        <v>5.5500000000000001E-2</v>
      </c>
      <c r="U68" s="3">
        <v>39.51</v>
      </c>
      <c r="V68" s="1">
        <v>227863</v>
      </c>
      <c r="W68" s="2">
        <v>2.4E-2</v>
      </c>
      <c r="X68" s="3">
        <v>18.43</v>
      </c>
      <c r="Y68" s="1">
        <v>45667</v>
      </c>
      <c r="Z68" s="2">
        <v>1.04E-2</v>
      </c>
      <c r="AA68" s="3">
        <v>8.52</v>
      </c>
      <c r="AB68" s="1">
        <v>80620</v>
      </c>
      <c r="AC68" s="2">
        <v>1.23E-2</v>
      </c>
      <c r="AD68" s="3">
        <v>12.69</v>
      </c>
      <c r="AE68" s="1">
        <v>539221</v>
      </c>
      <c r="AF68" s="2">
        <v>0.13159999999999999</v>
      </c>
      <c r="AG68" s="3">
        <v>7.96</v>
      </c>
    </row>
    <row r="69" spans="1:33" x14ac:dyDescent="0.75">
      <c r="A69" t="s">
        <v>105</v>
      </c>
      <c r="B69" s="1">
        <v>90733</v>
      </c>
      <c r="C69" s="2">
        <v>0.52100000000000002</v>
      </c>
      <c r="D69" s="2">
        <v>0.47899999999999998</v>
      </c>
      <c r="E69" s="2">
        <v>0</v>
      </c>
      <c r="F69" s="1">
        <v>89344</v>
      </c>
      <c r="G69" s="1">
        <v>1389</v>
      </c>
      <c r="H69" s="1">
        <v>23312</v>
      </c>
      <c r="I69" s="1">
        <v>67421</v>
      </c>
      <c r="J69" s="2">
        <v>0.59199999999999997</v>
      </c>
      <c r="K69" s="2">
        <v>0</v>
      </c>
      <c r="L69" s="2">
        <v>2.81E-2</v>
      </c>
      <c r="M69" s="2">
        <v>4.3099999999999999E-2</v>
      </c>
      <c r="N69" s="2">
        <v>0.29349999999999998</v>
      </c>
      <c r="O69" s="2">
        <v>4.3299999999999998E-2</v>
      </c>
      <c r="P69" s="2">
        <v>0.34399999999999997</v>
      </c>
      <c r="Q69" s="2">
        <v>1.01E-2</v>
      </c>
      <c r="R69">
        <v>5.21</v>
      </c>
      <c r="S69" s="1">
        <v>1760395</v>
      </c>
      <c r="T69" s="2">
        <v>0.1012</v>
      </c>
      <c r="U69" s="3">
        <v>36.81</v>
      </c>
      <c r="V69" s="1">
        <v>739228</v>
      </c>
      <c r="W69" s="2">
        <v>0.1026</v>
      </c>
      <c r="X69" s="3">
        <v>15.25</v>
      </c>
      <c r="Y69" s="1">
        <v>148401</v>
      </c>
      <c r="Z69" s="2">
        <v>3.6499999999999998E-2</v>
      </c>
      <c r="AA69" s="3">
        <v>8.61</v>
      </c>
      <c r="AB69">
        <v>0</v>
      </c>
      <c r="AE69" s="1">
        <v>427969</v>
      </c>
      <c r="AF69" s="2">
        <v>8.0699999999999994E-2</v>
      </c>
      <c r="AG69" s="3">
        <v>11.22</v>
      </c>
    </row>
    <row r="70" spans="1:33" x14ac:dyDescent="0.75">
      <c r="A70" t="s">
        <v>106</v>
      </c>
      <c r="B70" s="1">
        <v>90310</v>
      </c>
      <c r="C70" s="2">
        <v>0.55369999999999997</v>
      </c>
      <c r="D70" s="2">
        <v>0.39589999999999997</v>
      </c>
      <c r="E70" s="2">
        <v>5.04E-2</v>
      </c>
      <c r="F70" s="1">
        <v>89750</v>
      </c>
      <c r="G70">
        <v>560</v>
      </c>
      <c r="H70" s="1">
        <v>33687</v>
      </c>
      <c r="I70" s="1">
        <v>56623</v>
      </c>
      <c r="J70" s="2">
        <v>0.71589999999999998</v>
      </c>
      <c r="K70" s="2">
        <v>4.99E-2</v>
      </c>
      <c r="L70" s="2">
        <v>1.43E-2</v>
      </c>
      <c r="M70" s="2">
        <v>5.96E-2</v>
      </c>
      <c r="N70" s="2">
        <v>0.12640000000000001</v>
      </c>
      <c r="O70" s="2">
        <v>3.39E-2</v>
      </c>
      <c r="P70" s="2">
        <v>0.47949999999999998</v>
      </c>
      <c r="Q70" s="2">
        <v>2.1899999999999999E-2</v>
      </c>
      <c r="R70">
        <v>3.68</v>
      </c>
      <c r="S70" s="1">
        <v>1148253</v>
      </c>
      <c r="T70" s="2">
        <v>0.1043</v>
      </c>
      <c r="U70" s="3">
        <v>33.11</v>
      </c>
      <c r="V70" s="1">
        <v>278697</v>
      </c>
      <c r="W70" s="2">
        <v>5.0200000000000002E-2</v>
      </c>
      <c r="X70" s="3">
        <v>16.690000000000001</v>
      </c>
      <c r="Y70" s="1">
        <v>87019</v>
      </c>
      <c r="Z70" s="2">
        <v>2.86E-2</v>
      </c>
      <c r="AA70" s="3">
        <v>9.15</v>
      </c>
      <c r="AB70" s="1">
        <v>26139</v>
      </c>
      <c r="AC70" s="2">
        <v>6.0000000000000001E-3</v>
      </c>
      <c r="AD70" s="3">
        <v>13.02</v>
      </c>
      <c r="AE70" s="1">
        <v>256204</v>
      </c>
      <c r="AF70" s="2">
        <v>4.1200000000000001E-2</v>
      </c>
      <c r="AG70" s="3">
        <v>18.68</v>
      </c>
    </row>
    <row r="71" spans="1:33" x14ac:dyDescent="0.75">
      <c r="A71" t="s">
        <v>107</v>
      </c>
      <c r="B71" s="1">
        <v>87736</v>
      </c>
      <c r="C71" s="2">
        <v>0.46910000000000002</v>
      </c>
      <c r="D71" s="2">
        <v>0.53090000000000004</v>
      </c>
      <c r="E71" s="2">
        <v>0</v>
      </c>
      <c r="F71" s="1">
        <v>77117</v>
      </c>
      <c r="G71" s="1">
        <v>10619</v>
      </c>
      <c r="H71" s="1">
        <v>21434</v>
      </c>
      <c r="I71" s="1">
        <v>66302</v>
      </c>
      <c r="J71" s="2">
        <v>0.62549999999999994</v>
      </c>
      <c r="K71" s="2">
        <v>4.3700000000000003E-2</v>
      </c>
      <c r="L71" s="2">
        <v>1.2699999999999999E-2</v>
      </c>
      <c r="M71" s="2">
        <v>6.6500000000000004E-2</v>
      </c>
      <c r="N71" s="2">
        <v>0.2051</v>
      </c>
      <c r="O71" s="2">
        <v>4.65E-2</v>
      </c>
      <c r="P71" s="2">
        <v>0.40189999999999998</v>
      </c>
      <c r="Q71" s="2">
        <v>2.3099999999999999E-2</v>
      </c>
      <c r="R71">
        <v>5.66</v>
      </c>
      <c r="S71" s="1">
        <v>923298</v>
      </c>
      <c r="T71" s="2">
        <v>5.16E-2</v>
      </c>
      <c r="U71" s="3">
        <v>36.04</v>
      </c>
      <c r="V71" s="1">
        <v>291439</v>
      </c>
      <c r="W71" s="2">
        <v>3.5700000000000003E-2</v>
      </c>
      <c r="X71" s="3">
        <v>16.440000000000001</v>
      </c>
      <c r="Y71" s="1">
        <v>82524</v>
      </c>
      <c r="Z71" s="2">
        <v>1.83E-2</v>
      </c>
      <c r="AA71" s="3">
        <v>9.07</v>
      </c>
      <c r="AB71" s="1">
        <v>20779</v>
      </c>
      <c r="AC71" s="2">
        <v>3.3999999999999998E-3</v>
      </c>
      <c r="AD71" s="3">
        <v>12.25</v>
      </c>
      <c r="AE71" s="1">
        <v>422754</v>
      </c>
      <c r="AF71" s="2">
        <v>6.6799999999999998E-2</v>
      </c>
      <c r="AG71" s="3">
        <v>12.74</v>
      </c>
    </row>
    <row r="72" spans="1:33" x14ac:dyDescent="0.75">
      <c r="A72" t="s">
        <v>108</v>
      </c>
      <c r="B72" s="1">
        <v>86343</v>
      </c>
      <c r="C72" s="2">
        <v>0.86650000000000005</v>
      </c>
      <c r="D72" s="2">
        <v>0</v>
      </c>
      <c r="E72" s="2">
        <v>0.13350000000000001</v>
      </c>
      <c r="F72" s="1">
        <v>85196</v>
      </c>
      <c r="G72" s="1">
        <v>1147</v>
      </c>
      <c r="H72" s="1">
        <v>32540</v>
      </c>
      <c r="I72" s="1">
        <v>53803</v>
      </c>
      <c r="J72" s="2">
        <v>0.70730000000000004</v>
      </c>
      <c r="K72" s="2">
        <v>1.32E-2</v>
      </c>
      <c r="L72" s="2">
        <v>2.2599999999999999E-2</v>
      </c>
      <c r="M72" s="2">
        <v>6.0600000000000001E-2</v>
      </c>
      <c r="N72" s="2">
        <v>0.17019999999999999</v>
      </c>
      <c r="O72" s="2">
        <v>2.5999999999999999E-2</v>
      </c>
      <c r="P72" s="2">
        <v>0.44400000000000001</v>
      </c>
      <c r="Q72" s="2">
        <v>3.1899999999999998E-2</v>
      </c>
      <c r="R72">
        <v>3.73</v>
      </c>
      <c r="S72" s="1">
        <v>945387</v>
      </c>
      <c r="T72" s="2">
        <v>7.4099999999999999E-2</v>
      </c>
      <c r="U72" s="3">
        <v>39.64</v>
      </c>
      <c r="V72" s="1">
        <v>216655</v>
      </c>
      <c r="W72" s="2">
        <v>3.5099999999999999E-2</v>
      </c>
      <c r="X72" s="3">
        <v>19.18</v>
      </c>
      <c r="Y72" s="1">
        <v>97324</v>
      </c>
      <c r="Z72" s="2">
        <v>3.2500000000000001E-2</v>
      </c>
      <c r="AA72" s="3">
        <v>9.31</v>
      </c>
      <c r="AB72" s="1">
        <v>8071</v>
      </c>
      <c r="AC72" s="2">
        <v>2E-3</v>
      </c>
      <c r="AD72" s="3">
        <v>12.39</v>
      </c>
      <c r="AE72" s="1">
        <v>210326</v>
      </c>
      <c r="AF72" s="2">
        <v>4.7500000000000001E-2</v>
      </c>
      <c r="AG72" s="3">
        <v>13.76</v>
      </c>
    </row>
    <row r="73" spans="1:33" x14ac:dyDescent="0.75">
      <c r="A73" t="s">
        <v>109</v>
      </c>
      <c r="B73" s="1">
        <v>84224</v>
      </c>
      <c r="C73" s="2">
        <v>0.46800000000000003</v>
      </c>
      <c r="D73" s="2">
        <v>0.44650000000000001</v>
      </c>
      <c r="E73" s="2">
        <v>8.5500000000000007E-2</v>
      </c>
      <c r="F73" s="1">
        <v>82941</v>
      </c>
      <c r="G73" s="1">
        <v>1283</v>
      </c>
      <c r="H73" s="1">
        <v>23602</v>
      </c>
      <c r="I73" s="1">
        <v>60622</v>
      </c>
      <c r="J73" s="2">
        <v>0.69599999999999995</v>
      </c>
      <c r="K73" s="2">
        <v>5.9499999999999997E-2</v>
      </c>
      <c r="L73" s="2">
        <v>2.2599999999999999E-2</v>
      </c>
      <c r="M73" s="2">
        <v>4.5699999999999998E-2</v>
      </c>
      <c r="N73" s="2">
        <v>0.13639999999999999</v>
      </c>
      <c r="O73" s="2">
        <v>3.9800000000000002E-2</v>
      </c>
      <c r="P73" s="2">
        <v>0.39119999999999999</v>
      </c>
      <c r="Q73" s="2">
        <v>3.7100000000000001E-2</v>
      </c>
      <c r="R73">
        <v>3.81</v>
      </c>
      <c r="S73" s="1">
        <v>1299411</v>
      </c>
      <c r="T73" s="2">
        <v>0.12280000000000001</v>
      </c>
      <c r="U73" s="3">
        <v>32.99</v>
      </c>
      <c r="V73" s="1">
        <v>294977</v>
      </c>
      <c r="W73" s="2">
        <v>5.4800000000000001E-2</v>
      </c>
      <c r="X73" s="3">
        <v>16.79</v>
      </c>
      <c r="Y73" s="1">
        <v>99905</v>
      </c>
      <c r="Z73" s="2">
        <v>3.2800000000000003E-2</v>
      </c>
      <c r="AA73" s="3">
        <v>9.48</v>
      </c>
      <c r="AB73" s="1">
        <v>498229</v>
      </c>
      <c r="AC73" s="2">
        <v>0.1148</v>
      </c>
      <c r="AD73" s="3">
        <v>13.54</v>
      </c>
      <c r="AE73" s="1">
        <v>261306</v>
      </c>
      <c r="AF73" s="2">
        <v>4.1700000000000001E-2</v>
      </c>
      <c r="AG73" s="3">
        <v>19.559999999999999</v>
      </c>
    </row>
    <row r="74" spans="1:33" x14ac:dyDescent="0.75">
      <c r="A74" t="s">
        <v>110</v>
      </c>
      <c r="B74" s="1">
        <v>80454</v>
      </c>
      <c r="C74" s="2">
        <v>0.48120000000000002</v>
      </c>
      <c r="D74" s="2">
        <v>0.48780000000000001</v>
      </c>
      <c r="E74" s="2">
        <v>3.1E-2</v>
      </c>
      <c r="F74" s="1">
        <v>78172</v>
      </c>
      <c r="G74" s="1">
        <v>2282</v>
      </c>
      <c r="H74" s="1">
        <v>23689</v>
      </c>
      <c r="I74" s="1">
        <v>56765</v>
      </c>
      <c r="J74" s="2">
        <v>0.68630000000000002</v>
      </c>
      <c r="K74" s="2">
        <v>1.0200000000000001E-2</v>
      </c>
      <c r="L74" s="2">
        <v>2.5100000000000001E-2</v>
      </c>
      <c r="M74" s="2">
        <v>5.16E-2</v>
      </c>
      <c r="N74" s="2">
        <v>0.17979999999999999</v>
      </c>
      <c r="O74" s="2">
        <v>4.7100000000000003E-2</v>
      </c>
      <c r="P74" s="2">
        <v>0.37919999999999998</v>
      </c>
      <c r="Q74" s="2">
        <v>1.61E-2</v>
      </c>
      <c r="R74">
        <v>3.9</v>
      </c>
      <c r="S74" s="1">
        <v>968430</v>
      </c>
      <c r="T74" s="2">
        <v>8.2900000000000001E-2</v>
      </c>
      <c r="U74" s="3">
        <v>37.21</v>
      </c>
      <c r="V74" s="1">
        <v>263468</v>
      </c>
      <c r="W74" s="2">
        <v>3.9600000000000003E-2</v>
      </c>
      <c r="X74" s="3">
        <v>21.17</v>
      </c>
      <c r="Y74" s="1">
        <v>74417</v>
      </c>
      <c r="Z74" s="2">
        <v>2.5700000000000001E-2</v>
      </c>
      <c r="AA74" s="3">
        <v>9.2200000000000006</v>
      </c>
      <c r="AB74" s="1">
        <v>3862</v>
      </c>
      <c r="AC74" s="2">
        <v>5.0000000000000001E-4</v>
      </c>
      <c r="AD74" s="3">
        <v>24.71</v>
      </c>
      <c r="AE74" s="1">
        <v>389537</v>
      </c>
      <c r="AF74" s="2">
        <v>0.109</v>
      </c>
      <c r="AG74" s="3">
        <v>11.39</v>
      </c>
    </row>
    <row r="75" spans="1:33" x14ac:dyDescent="0.75">
      <c r="A75" t="s">
        <v>111</v>
      </c>
      <c r="B75" s="1">
        <v>78872</v>
      </c>
      <c r="C75" s="2">
        <v>0.56320000000000003</v>
      </c>
      <c r="D75" s="2">
        <v>0.39550000000000002</v>
      </c>
      <c r="E75" s="2">
        <v>4.1300000000000003E-2</v>
      </c>
      <c r="F75" s="1">
        <v>77376</v>
      </c>
      <c r="G75" s="1">
        <v>1496</v>
      </c>
      <c r="H75" s="1">
        <v>34778</v>
      </c>
      <c r="I75" s="1">
        <v>44094</v>
      </c>
      <c r="J75" s="2">
        <v>0.69110000000000005</v>
      </c>
      <c r="K75" s="2">
        <v>8.8999999999999999E-3</v>
      </c>
      <c r="L75" s="2">
        <v>2.1899999999999999E-2</v>
      </c>
      <c r="M75" s="2">
        <v>6.4500000000000002E-2</v>
      </c>
      <c r="N75" s="2">
        <v>0.1633</v>
      </c>
      <c r="O75" s="2">
        <v>5.0299999999999997E-2</v>
      </c>
      <c r="P75" s="2">
        <v>0.45429999999999998</v>
      </c>
      <c r="Q75" s="2">
        <v>2.1100000000000001E-2</v>
      </c>
      <c r="R75">
        <v>3.96</v>
      </c>
      <c r="S75" s="1">
        <v>752110</v>
      </c>
      <c r="T75" s="2">
        <v>6.7699999999999996E-2</v>
      </c>
      <c r="U75" s="3">
        <v>35.57</v>
      </c>
      <c r="V75" s="1">
        <v>179684</v>
      </c>
      <c r="W75" s="2">
        <v>2.86E-2</v>
      </c>
      <c r="X75" s="3">
        <v>20.100000000000001</v>
      </c>
      <c r="Y75" s="1">
        <v>61698</v>
      </c>
      <c r="Z75" s="2">
        <v>2.1899999999999999E-2</v>
      </c>
      <c r="AA75" s="3">
        <v>9.0399999999999991</v>
      </c>
      <c r="AB75" s="1">
        <v>57203</v>
      </c>
      <c r="AC75" s="2">
        <v>1.6799999999999999E-2</v>
      </c>
      <c r="AD75" s="3">
        <v>10.91</v>
      </c>
      <c r="AE75" s="1">
        <v>173375</v>
      </c>
      <c r="AF75" s="2">
        <v>3.8399999999999997E-2</v>
      </c>
      <c r="AG75" s="3">
        <v>14.46</v>
      </c>
    </row>
    <row r="76" spans="1:33" x14ac:dyDescent="0.75">
      <c r="A76" t="s">
        <v>112</v>
      </c>
      <c r="B76" s="1">
        <v>77007</v>
      </c>
      <c r="C76" s="2">
        <v>0.45729999999999998</v>
      </c>
      <c r="D76" s="2">
        <v>0.54269999999999996</v>
      </c>
      <c r="E76" s="2">
        <v>0</v>
      </c>
      <c r="F76" s="1">
        <v>76348</v>
      </c>
      <c r="G76">
        <v>659</v>
      </c>
      <c r="H76" s="1">
        <v>18371</v>
      </c>
      <c r="I76" s="1">
        <v>58636</v>
      </c>
      <c r="J76" s="2">
        <v>0.69520000000000004</v>
      </c>
      <c r="K76" s="2">
        <v>8.8000000000000005E-3</v>
      </c>
      <c r="L76" s="2">
        <v>2.18E-2</v>
      </c>
      <c r="M76" s="2">
        <v>4.6100000000000002E-2</v>
      </c>
      <c r="N76" s="2">
        <v>0.19139999999999999</v>
      </c>
      <c r="O76" s="2">
        <v>3.6700000000000003E-2</v>
      </c>
      <c r="P76" s="2">
        <v>0.34770000000000001</v>
      </c>
      <c r="Q76" s="2">
        <v>3.56E-2</v>
      </c>
      <c r="R76">
        <v>5.24</v>
      </c>
      <c r="S76" s="1">
        <v>1347620</v>
      </c>
      <c r="T76" s="2">
        <v>0.1014</v>
      </c>
      <c r="U76" s="3">
        <v>32.909999999999997</v>
      </c>
      <c r="V76" s="1">
        <v>322597</v>
      </c>
      <c r="W76" s="2">
        <v>4.48E-2</v>
      </c>
      <c r="X76" s="3">
        <v>17.84</v>
      </c>
      <c r="Y76" s="1">
        <v>225764</v>
      </c>
      <c r="Z76" s="2">
        <v>6.2100000000000002E-2</v>
      </c>
      <c r="AA76" s="3">
        <v>9</v>
      </c>
      <c r="AB76" s="1">
        <v>442361</v>
      </c>
      <c r="AC76" s="2">
        <v>8.09E-2</v>
      </c>
      <c r="AD76" s="3">
        <v>13.54</v>
      </c>
      <c r="AE76" s="1">
        <v>507994</v>
      </c>
      <c r="AF76" s="2">
        <v>0.1181</v>
      </c>
      <c r="AG76" s="3">
        <v>10.65</v>
      </c>
    </row>
    <row r="77" spans="1:33" x14ac:dyDescent="0.75">
      <c r="A77" t="s">
        <v>113</v>
      </c>
      <c r="B77" s="1">
        <v>76133</v>
      </c>
      <c r="C77" s="2">
        <v>0.99109999999999998</v>
      </c>
      <c r="D77" s="2">
        <v>0</v>
      </c>
      <c r="E77" s="2">
        <v>8.8999999999999999E-3</v>
      </c>
      <c r="F77" s="1">
        <v>74144</v>
      </c>
      <c r="G77" s="1">
        <v>1989</v>
      </c>
      <c r="H77" s="1">
        <v>38925</v>
      </c>
      <c r="I77" s="1">
        <v>37208</v>
      </c>
      <c r="J77" s="2">
        <v>0.74419999999999997</v>
      </c>
      <c r="K77" s="2">
        <v>9.1000000000000004E-3</v>
      </c>
      <c r="L77" s="2">
        <v>1.8599999999999998E-2</v>
      </c>
      <c r="M77" s="2">
        <v>4.1700000000000001E-2</v>
      </c>
      <c r="N77" s="2">
        <v>0.15379999999999999</v>
      </c>
      <c r="O77" s="2">
        <v>3.2500000000000001E-2</v>
      </c>
      <c r="P77" s="2">
        <v>0.55179999999999996</v>
      </c>
      <c r="Q77" s="2">
        <v>5.5500000000000001E-2</v>
      </c>
      <c r="R77">
        <v>3.79</v>
      </c>
      <c r="S77" s="1">
        <v>794500</v>
      </c>
      <c r="T77" s="2">
        <v>7.6200000000000004E-2</v>
      </c>
      <c r="U77" s="3">
        <v>36.130000000000003</v>
      </c>
      <c r="V77" s="1">
        <v>216738</v>
      </c>
      <c r="W77" s="2">
        <v>3.5799999999999998E-2</v>
      </c>
      <c r="X77" s="3">
        <v>20.99</v>
      </c>
      <c r="Y77" s="1">
        <v>60964</v>
      </c>
      <c r="Z77" s="2">
        <v>2.3300000000000001E-2</v>
      </c>
      <c r="AA77" s="3">
        <v>9.06</v>
      </c>
      <c r="AB77">
        <v>667</v>
      </c>
      <c r="AC77" s="2">
        <v>1E-4</v>
      </c>
      <c r="AD77" s="3">
        <v>24.05</v>
      </c>
      <c r="AE77" s="1">
        <v>149452</v>
      </c>
      <c r="AF77" s="2">
        <v>4.0899999999999999E-2</v>
      </c>
      <c r="AG77" s="3">
        <v>12.66</v>
      </c>
    </row>
    <row r="78" spans="1:33" x14ac:dyDescent="0.75">
      <c r="A78" t="s">
        <v>114</v>
      </c>
      <c r="B78" s="1">
        <v>75740</v>
      </c>
      <c r="C78" s="2">
        <v>0.46279999999999999</v>
      </c>
      <c r="D78" s="2">
        <v>0.53720000000000001</v>
      </c>
      <c r="E78" s="2">
        <v>0</v>
      </c>
      <c r="F78" s="1">
        <v>74489</v>
      </c>
      <c r="G78" s="1">
        <v>1251</v>
      </c>
      <c r="H78" s="1">
        <v>22442</v>
      </c>
      <c r="I78" s="1">
        <v>53298</v>
      </c>
      <c r="J78" s="2">
        <v>0.70820000000000005</v>
      </c>
      <c r="K78" s="2">
        <v>1.5E-3</v>
      </c>
      <c r="L78" s="2">
        <v>2.9100000000000001E-2</v>
      </c>
      <c r="M78" s="2">
        <v>4.9799999999999997E-2</v>
      </c>
      <c r="N78" s="2">
        <v>0.17469999999999999</v>
      </c>
      <c r="O78" s="2">
        <v>3.6600000000000001E-2</v>
      </c>
      <c r="P78" s="2">
        <v>0.36330000000000001</v>
      </c>
      <c r="Q78" s="2">
        <v>2.58E-2</v>
      </c>
      <c r="R78">
        <v>4.1100000000000003</v>
      </c>
      <c r="S78" s="1">
        <v>1101447</v>
      </c>
      <c r="T78" s="2">
        <v>9.3100000000000002E-2</v>
      </c>
      <c r="U78" s="3">
        <v>38.020000000000003</v>
      </c>
      <c r="V78" s="1">
        <v>177483</v>
      </c>
      <c r="W78" s="2">
        <v>3.6600000000000001E-2</v>
      </c>
      <c r="X78" s="3">
        <v>15.59</v>
      </c>
      <c r="Y78" s="1">
        <v>71829</v>
      </c>
      <c r="Z78" s="2">
        <v>2.52E-2</v>
      </c>
      <c r="AA78" s="3">
        <v>9.16</v>
      </c>
      <c r="AB78" s="1">
        <v>4229</v>
      </c>
      <c r="AC78" s="2">
        <v>1.1999999999999999E-3</v>
      </c>
      <c r="AD78" s="3">
        <v>11.24</v>
      </c>
      <c r="AE78" s="1">
        <v>214640</v>
      </c>
      <c r="AF78" s="2">
        <v>4.2500000000000003E-2</v>
      </c>
      <c r="AG78" s="3">
        <v>16.239999999999998</v>
      </c>
    </row>
    <row r="79" spans="1:33" x14ac:dyDescent="0.75">
      <c r="A79" t="s">
        <v>115</v>
      </c>
      <c r="B79" s="1">
        <v>75671</v>
      </c>
      <c r="C79" s="2">
        <v>0.43130000000000002</v>
      </c>
      <c r="D79" s="2">
        <v>0.54159999999999997</v>
      </c>
      <c r="E79" s="2">
        <v>2.7099999999999999E-2</v>
      </c>
      <c r="F79" s="1">
        <v>75167</v>
      </c>
      <c r="G79">
        <v>504</v>
      </c>
      <c r="H79" s="1">
        <v>23787</v>
      </c>
      <c r="I79" s="1">
        <v>51884</v>
      </c>
      <c r="J79" s="2">
        <v>0.73499999999999999</v>
      </c>
      <c r="K79" s="2">
        <v>1.6E-2</v>
      </c>
      <c r="L79" s="2">
        <v>2.92E-2</v>
      </c>
      <c r="M79" s="2">
        <v>4.5199999999999997E-2</v>
      </c>
      <c r="N79" s="2">
        <v>0.14369999999999999</v>
      </c>
      <c r="O79" s="2">
        <v>3.0800000000000001E-2</v>
      </c>
      <c r="P79" s="2">
        <v>0.38019999999999998</v>
      </c>
      <c r="Q79" s="2">
        <v>4.8800000000000003E-2</v>
      </c>
      <c r="R79">
        <v>4.8</v>
      </c>
      <c r="S79" s="1">
        <v>667903</v>
      </c>
      <c r="T79" s="2">
        <v>5.4100000000000002E-2</v>
      </c>
      <c r="U79" s="3">
        <v>33.94</v>
      </c>
      <c r="V79" s="1">
        <v>137412</v>
      </c>
      <c r="W79" s="2">
        <v>1.9E-2</v>
      </c>
      <c r="X79" s="3">
        <v>19.91</v>
      </c>
      <c r="Y79" s="1">
        <v>64934</v>
      </c>
      <c r="Z79" s="2">
        <v>0.02</v>
      </c>
      <c r="AA79" s="3">
        <v>8.94</v>
      </c>
      <c r="AB79" s="1">
        <v>239095</v>
      </c>
      <c r="AC79" s="2">
        <v>4.6600000000000003E-2</v>
      </c>
      <c r="AD79" s="3">
        <v>14.11</v>
      </c>
      <c r="AE79" s="1">
        <v>293944</v>
      </c>
      <c r="AF79" s="2">
        <v>7.0300000000000001E-2</v>
      </c>
      <c r="AG79" s="3">
        <v>11.49</v>
      </c>
    </row>
    <row r="80" spans="1:33" x14ac:dyDescent="0.75">
      <c r="A80" t="s">
        <v>116</v>
      </c>
      <c r="B80" s="1">
        <v>75579</v>
      </c>
      <c r="C80" s="2">
        <v>0.40060000000000001</v>
      </c>
      <c r="D80" s="2">
        <v>0.59940000000000004</v>
      </c>
      <c r="E80" s="2">
        <v>0</v>
      </c>
      <c r="F80" s="1">
        <v>74342</v>
      </c>
      <c r="G80" s="1">
        <v>1237</v>
      </c>
      <c r="H80" s="1">
        <v>11824</v>
      </c>
      <c r="I80" s="1">
        <v>63755</v>
      </c>
      <c r="J80" s="2">
        <v>0.64190000000000003</v>
      </c>
      <c r="K80" s="2">
        <v>1.6299999999999999E-2</v>
      </c>
      <c r="L80" s="2">
        <v>4.1300000000000003E-2</v>
      </c>
      <c r="M80" s="2">
        <v>5.7299999999999997E-2</v>
      </c>
      <c r="N80" s="2">
        <v>0.20449999999999999</v>
      </c>
      <c r="O80" s="2">
        <v>3.8699999999999998E-2</v>
      </c>
      <c r="P80" s="2">
        <v>0.28599999999999998</v>
      </c>
      <c r="Q80" s="2">
        <v>3.2300000000000002E-2</v>
      </c>
      <c r="R80">
        <v>4.49</v>
      </c>
      <c r="S80" s="1">
        <v>1103652</v>
      </c>
      <c r="T80" s="2">
        <v>8.9399999999999993E-2</v>
      </c>
      <c r="U80" s="3">
        <v>36.380000000000003</v>
      </c>
      <c r="V80" s="1">
        <v>265884</v>
      </c>
      <c r="W80" s="2">
        <v>4.4600000000000001E-2</v>
      </c>
      <c r="X80" s="3">
        <v>17.579999999999998</v>
      </c>
      <c r="Y80" s="1">
        <v>192401</v>
      </c>
      <c r="Z80" s="2">
        <v>6.3600000000000004E-2</v>
      </c>
      <c r="AA80" s="3">
        <v>8.91</v>
      </c>
      <c r="AB80" s="1">
        <v>13137</v>
      </c>
      <c r="AC80" s="2">
        <v>1.4E-3</v>
      </c>
      <c r="AD80" s="3">
        <v>26.75</v>
      </c>
      <c r="AE80" s="1">
        <v>298562</v>
      </c>
      <c r="AF80" s="2">
        <v>9.9400000000000002E-2</v>
      </c>
      <c r="AG80" s="3">
        <v>8.85</v>
      </c>
    </row>
    <row r="81" spans="1:33" x14ac:dyDescent="0.75">
      <c r="A81" t="s">
        <v>117</v>
      </c>
      <c r="B81" s="1">
        <v>75312</v>
      </c>
      <c r="C81" s="2">
        <v>0.59340000000000004</v>
      </c>
      <c r="D81" s="2">
        <v>0.40660000000000002</v>
      </c>
      <c r="E81" s="2">
        <v>0</v>
      </c>
      <c r="F81" s="1">
        <v>74287</v>
      </c>
      <c r="G81" s="1">
        <v>1025</v>
      </c>
      <c r="H81" s="1">
        <v>28543</v>
      </c>
      <c r="I81" s="1">
        <v>46769</v>
      </c>
      <c r="J81" s="2">
        <v>0.67820000000000003</v>
      </c>
      <c r="K81" s="2">
        <v>2.81E-2</v>
      </c>
      <c r="L81" s="2">
        <v>1.66E-2</v>
      </c>
      <c r="M81" s="2">
        <v>4.6600000000000003E-2</v>
      </c>
      <c r="N81" s="2">
        <v>0.18479999999999999</v>
      </c>
      <c r="O81" s="2">
        <v>4.5699999999999998E-2</v>
      </c>
      <c r="P81" s="2">
        <v>0.44900000000000001</v>
      </c>
      <c r="Q81" s="2">
        <v>5.6399999999999999E-2</v>
      </c>
      <c r="R81">
        <v>4.07</v>
      </c>
      <c r="S81" s="1">
        <v>846849</v>
      </c>
      <c r="T81" s="2">
        <v>7.0800000000000002E-2</v>
      </c>
      <c r="U81" s="3">
        <v>38.96</v>
      </c>
      <c r="V81" s="1">
        <v>173239</v>
      </c>
      <c r="W81" s="2">
        <v>2.98E-2</v>
      </c>
      <c r="X81" s="3">
        <v>18.940000000000001</v>
      </c>
      <c r="Y81" s="1">
        <v>92931</v>
      </c>
      <c r="Z81" s="2">
        <v>3.2800000000000003E-2</v>
      </c>
      <c r="AA81" s="3">
        <v>9.23</v>
      </c>
      <c r="AB81">
        <v>48</v>
      </c>
      <c r="AC81" s="2">
        <v>0</v>
      </c>
      <c r="AD81" s="3">
        <v>27.64</v>
      </c>
      <c r="AE81" s="1">
        <v>256103</v>
      </c>
      <c r="AF81" s="2">
        <v>7.2099999999999997E-2</v>
      </c>
      <c r="AG81" s="3">
        <v>11.58</v>
      </c>
    </row>
    <row r="82" spans="1:33" x14ac:dyDescent="0.75">
      <c r="A82" t="s">
        <v>118</v>
      </c>
      <c r="B82" s="1">
        <v>74838</v>
      </c>
      <c r="C82" s="2">
        <v>0.47839999999999999</v>
      </c>
      <c r="D82" s="2">
        <v>0.52159999999999995</v>
      </c>
      <c r="E82" s="2">
        <v>0</v>
      </c>
      <c r="F82" s="1">
        <v>74182</v>
      </c>
      <c r="G82">
        <v>656</v>
      </c>
      <c r="H82" s="1">
        <v>19475</v>
      </c>
      <c r="I82" s="1">
        <v>55363</v>
      </c>
      <c r="J82" s="2">
        <v>0.6915</v>
      </c>
      <c r="K82" s="2">
        <v>1.6799999999999999E-2</v>
      </c>
      <c r="L82" s="2">
        <v>3.6200000000000003E-2</v>
      </c>
      <c r="M82" s="2">
        <v>5.0200000000000002E-2</v>
      </c>
      <c r="N82" s="2">
        <v>0.16420000000000001</v>
      </c>
      <c r="O82" s="2">
        <v>4.1099999999999998E-2</v>
      </c>
      <c r="P82" s="2">
        <v>0.37040000000000001</v>
      </c>
      <c r="Q82" s="2">
        <v>0.01</v>
      </c>
      <c r="R82">
        <v>4.53</v>
      </c>
      <c r="S82" s="1">
        <v>627069</v>
      </c>
      <c r="T82" s="2">
        <v>0.1108</v>
      </c>
      <c r="U82" s="3">
        <v>16.71</v>
      </c>
      <c r="V82" s="1">
        <v>187267</v>
      </c>
      <c r="W82" s="2">
        <v>2.9100000000000001E-2</v>
      </c>
      <c r="X82" s="3">
        <v>19.03</v>
      </c>
      <c r="Y82" s="1">
        <v>56737</v>
      </c>
      <c r="Z82" s="2">
        <v>1.8800000000000001E-2</v>
      </c>
      <c r="AA82" s="3">
        <v>8.89</v>
      </c>
      <c r="AB82" s="1">
        <v>156796</v>
      </c>
      <c r="AC82" s="2">
        <v>1.6400000000000001E-2</v>
      </c>
      <c r="AD82" s="3">
        <v>28.2</v>
      </c>
      <c r="AE82" s="1">
        <v>246546</v>
      </c>
      <c r="AF82" s="2">
        <v>5.3900000000000003E-2</v>
      </c>
      <c r="AG82" s="3">
        <v>13.52</v>
      </c>
    </row>
    <row r="83" spans="1:33" x14ac:dyDescent="0.75">
      <c r="A83" t="s">
        <v>119</v>
      </c>
      <c r="B83" s="1">
        <v>74428</v>
      </c>
      <c r="C83" s="2">
        <v>0.5635</v>
      </c>
      <c r="D83" s="2">
        <v>0.4365</v>
      </c>
      <c r="E83" s="2">
        <v>0</v>
      </c>
      <c r="F83" s="1">
        <v>72726</v>
      </c>
      <c r="G83" s="1">
        <v>1702</v>
      </c>
      <c r="H83" s="1">
        <v>33124</v>
      </c>
      <c r="I83" s="1">
        <v>41304</v>
      </c>
      <c r="J83" s="2">
        <v>0.70399999999999996</v>
      </c>
      <c r="K83" s="2">
        <v>4.2200000000000001E-2</v>
      </c>
      <c r="L83" s="2">
        <v>1.34E-2</v>
      </c>
      <c r="M83" s="2">
        <v>4.3299999999999998E-2</v>
      </c>
      <c r="N83" s="2">
        <v>0.15049999999999999</v>
      </c>
      <c r="O83" s="2">
        <v>4.65E-2</v>
      </c>
      <c r="P83" s="2">
        <v>0.47349999999999998</v>
      </c>
      <c r="Q83" s="2">
        <v>1.7299999999999999E-2</v>
      </c>
      <c r="R83">
        <v>5.25</v>
      </c>
      <c r="S83" s="1">
        <v>966967</v>
      </c>
      <c r="T83" s="2">
        <v>6.7400000000000002E-2</v>
      </c>
      <c r="U83" s="3">
        <v>36.71</v>
      </c>
      <c r="V83" s="1">
        <v>163691</v>
      </c>
      <c r="W83" s="2">
        <v>0.02</v>
      </c>
      <c r="X83" s="3">
        <v>20.95</v>
      </c>
      <c r="Y83" s="1">
        <v>72299</v>
      </c>
      <c r="Z83" s="2">
        <v>2.0899999999999998E-2</v>
      </c>
      <c r="AA83" s="3">
        <v>8.86</v>
      </c>
      <c r="AB83">
        <v>0</v>
      </c>
      <c r="AE83" s="1">
        <v>201761</v>
      </c>
      <c r="AF83" s="2">
        <v>5.6599999999999998E-2</v>
      </c>
      <c r="AG83" s="3">
        <v>9.1199999999999992</v>
      </c>
    </row>
    <row r="84" spans="1:33" x14ac:dyDescent="0.75">
      <c r="A84" t="s">
        <v>120</v>
      </c>
      <c r="B84" s="1">
        <v>72050</v>
      </c>
      <c r="C84" s="2">
        <v>0.58499999999999996</v>
      </c>
      <c r="D84" s="2">
        <v>0.35539999999999999</v>
      </c>
      <c r="E84" s="2">
        <v>5.96E-2</v>
      </c>
      <c r="F84" s="1">
        <v>70547</v>
      </c>
      <c r="G84" s="1">
        <v>1503</v>
      </c>
      <c r="H84" s="1">
        <v>29215</v>
      </c>
      <c r="I84" s="1">
        <v>42835</v>
      </c>
      <c r="J84" s="2">
        <v>0.69769999999999999</v>
      </c>
      <c r="K84" s="2">
        <v>1.1599999999999999E-2</v>
      </c>
      <c r="L84" s="2">
        <v>3.9300000000000002E-2</v>
      </c>
      <c r="M84" s="2">
        <v>6.25E-2</v>
      </c>
      <c r="N84" s="2">
        <v>0.14430000000000001</v>
      </c>
      <c r="O84" s="2">
        <v>4.4699999999999997E-2</v>
      </c>
      <c r="P84" s="2">
        <v>0.38969999999999999</v>
      </c>
      <c r="Q84" s="2">
        <v>4.6899999999999997E-2</v>
      </c>
      <c r="R84">
        <v>4.21</v>
      </c>
      <c r="S84" s="1">
        <v>1203209</v>
      </c>
      <c r="T84" s="2">
        <v>0.1067</v>
      </c>
      <c r="U84" s="3">
        <v>37.18</v>
      </c>
      <c r="V84" s="1">
        <v>284896</v>
      </c>
      <c r="W84" s="2">
        <v>4.6699999999999998E-2</v>
      </c>
      <c r="X84" s="3">
        <v>20.12</v>
      </c>
      <c r="Y84" s="1">
        <v>135848</v>
      </c>
      <c r="Z84" s="2">
        <v>4.9200000000000001E-2</v>
      </c>
      <c r="AA84" s="3">
        <v>9.1</v>
      </c>
      <c r="AB84" s="1">
        <v>11063</v>
      </c>
      <c r="AC84" s="2">
        <v>2.8999999999999998E-3</v>
      </c>
      <c r="AD84" s="3">
        <v>12.79</v>
      </c>
      <c r="AE84" s="1">
        <v>196268</v>
      </c>
      <c r="AF84" s="2">
        <v>6.1899999999999997E-2</v>
      </c>
      <c r="AG84" s="3">
        <v>10.46</v>
      </c>
    </row>
    <row r="85" spans="1:33" x14ac:dyDescent="0.75">
      <c r="A85" t="s">
        <v>121</v>
      </c>
      <c r="B85" s="1">
        <v>69188</v>
      </c>
      <c r="C85" s="2">
        <v>0.60629999999999995</v>
      </c>
      <c r="D85" s="2">
        <v>0.3488</v>
      </c>
      <c r="E85" s="2">
        <v>4.4900000000000002E-2</v>
      </c>
      <c r="F85" s="1">
        <v>68297</v>
      </c>
      <c r="G85">
        <v>891</v>
      </c>
      <c r="H85" s="1">
        <v>28179</v>
      </c>
      <c r="I85" s="1">
        <v>41009</v>
      </c>
      <c r="J85" s="2">
        <v>0.72599999999999998</v>
      </c>
      <c r="K85" s="2">
        <v>2.98E-2</v>
      </c>
      <c r="L85" s="2">
        <v>2.4E-2</v>
      </c>
      <c r="M85" s="2">
        <v>3.5700000000000003E-2</v>
      </c>
      <c r="N85" s="2">
        <v>0.1489</v>
      </c>
      <c r="O85" s="2">
        <v>3.56E-2</v>
      </c>
      <c r="P85" s="2">
        <v>0.46379999999999999</v>
      </c>
      <c r="Q85" s="2">
        <v>3.7100000000000001E-2</v>
      </c>
      <c r="R85">
        <v>3.49</v>
      </c>
      <c r="S85" s="1">
        <v>988415</v>
      </c>
      <c r="T85" s="2">
        <v>9.7799999999999998E-2</v>
      </c>
      <c r="U85" s="3">
        <v>41.83</v>
      </c>
      <c r="V85" s="1">
        <v>186258</v>
      </c>
      <c r="W85" s="2">
        <v>4.4999999999999998E-2</v>
      </c>
      <c r="X85" s="3">
        <v>17.11</v>
      </c>
      <c r="Y85" s="1">
        <v>75203</v>
      </c>
      <c r="Z85" s="2">
        <v>3.3399999999999999E-2</v>
      </c>
      <c r="AA85" s="3">
        <v>9.3000000000000007</v>
      </c>
      <c r="AB85" s="1">
        <v>229652</v>
      </c>
      <c r="AC85" s="2">
        <v>7.6499999999999999E-2</v>
      </c>
      <c r="AD85" s="3">
        <v>12.42</v>
      </c>
      <c r="AE85" s="1">
        <v>206474</v>
      </c>
      <c r="AF85" s="2">
        <v>6.7100000000000007E-2</v>
      </c>
      <c r="AG85" s="3">
        <v>12.73</v>
      </c>
    </row>
    <row r="86" spans="1:33" x14ac:dyDescent="0.75">
      <c r="A86" t="s">
        <v>122</v>
      </c>
      <c r="B86" s="1">
        <v>67995</v>
      </c>
      <c r="C86" s="2">
        <v>0.53320000000000001</v>
      </c>
      <c r="D86" s="2">
        <v>0.46679999999999999</v>
      </c>
      <c r="E86" s="2">
        <v>0</v>
      </c>
      <c r="F86" s="1">
        <v>67025</v>
      </c>
      <c r="G86">
        <v>970</v>
      </c>
      <c r="H86" s="1">
        <v>24610</v>
      </c>
      <c r="I86" s="1">
        <v>43385</v>
      </c>
      <c r="J86" s="2">
        <v>0.69540000000000002</v>
      </c>
      <c r="K86" s="2">
        <v>1.04E-2</v>
      </c>
      <c r="L86" s="2">
        <v>1.6400000000000001E-2</v>
      </c>
      <c r="M86" s="2">
        <v>2.9600000000000001E-2</v>
      </c>
      <c r="N86" s="2">
        <v>0.1913</v>
      </c>
      <c r="O86" s="2">
        <v>5.6899999999999999E-2</v>
      </c>
      <c r="P86" s="2">
        <v>0.39</v>
      </c>
      <c r="Q86" s="2">
        <v>3.5000000000000003E-2</v>
      </c>
      <c r="R86">
        <v>4.99</v>
      </c>
      <c r="S86" s="1">
        <v>800821</v>
      </c>
      <c r="T86" s="2">
        <v>5.8900000000000001E-2</v>
      </c>
      <c r="U86" s="3">
        <v>40.06</v>
      </c>
      <c r="V86" s="1">
        <v>173056</v>
      </c>
      <c r="W86" s="2">
        <v>2.6599999999999999E-2</v>
      </c>
      <c r="X86" s="3">
        <v>19.190000000000001</v>
      </c>
      <c r="Y86" s="1">
        <v>44634</v>
      </c>
      <c r="Z86" s="2">
        <v>1.4500000000000001E-2</v>
      </c>
      <c r="AA86" s="3">
        <v>9.0399999999999991</v>
      </c>
      <c r="AB86" s="1">
        <v>39875</v>
      </c>
      <c r="AC86" s="2">
        <v>9.1000000000000004E-3</v>
      </c>
      <c r="AD86" s="3">
        <v>12.93</v>
      </c>
      <c r="AE86" s="1">
        <v>214513</v>
      </c>
      <c r="AF86" s="2">
        <v>5.9799999999999999E-2</v>
      </c>
      <c r="AG86" s="3">
        <v>10.57</v>
      </c>
    </row>
    <row r="87" spans="1:33" x14ac:dyDescent="0.75">
      <c r="A87" t="s">
        <v>123</v>
      </c>
      <c r="B87" s="1">
        <v>67112</v>
      </c>
      <c r="C87" s="2">
        <v>0.53069999999999995</v>
      </c>
      <c r="D87" s="2">
        <v>0.45119999999999999</v>
      </c>
      <c r="E87" s="2">
        <v>1.8100000000000002E-2</v>
      </c>
      <c r="F87" s="1">
        <v>66152</v>
      </c>
      <c r="G87">
        <v>960</v>
      </c>
      <c r="H87" s="1">
        <v>22892</v>
      </c>
      <c r="I87" s="1">
        <v>44220</v>
      </c>
      <c r="J87" s="2">
        <v>0.68859999999999999</v>
      </c>
      <c r="K87" s="2">
        <v>1.72E-2</v>
      </c>
      <c r="L87" s="2">
        <v>2.93E-2</v>
      </c>
      <c r="M87" s="2">
        <v>3.61E-2</v>
      </c>
      <c r="N87" s="2">
        <v>0.183</v>
      </c>
      <c r="O87" s="2">
        <v>4.58E-2</v>
      </c>
      <c r="P87" s="2">
        <v>0.39489999999999997</v>
      </c>
      <c r="Q87" s="2">
        <v>2.3900000000000001E-2</v>
      </c>
      <c r="R87">
        <v>4.05</v>
      </c>
      <c r="S87" s="1">
        <v>518665</v>
      </c>
      <c r="T87" s="2">
        <v>0.10970000000000001</v>
      </c>
      <c r="U87" s="3">
        <v>17.399999999999999</v>
      </c>
      <c r="V87" s="1">
        <v>154077</v>
      </c>
      <c r="W87" s="2">
        <v>2.86E-2</v>
      </c>
      <c r="X87" s="3">
        <v>19.84</v>
      </c>
      <c r="Y87" s="1">
        <v>81460</v>
      </c>
      <c r="Z87" s="2">
        <v>3.27E-2</v>
      </c>
      <c r="AA87" s="3">
        <v>9.17</v>
      </c>
      <c r="AB87" s="1">
        <v>91335</v>
      </c>
      <c r="AC87" s="2">
        <v>1.26E-2</v>
      </c>
      <c r="AD87" s="3">
        <v>26.67</v>
      </c>
      <c r="AE87" s="1">
        <v>246906</v>
      </c>
      <c r="AF87" s="2">
        <v>6.5699999999999995E-2</v>
      </c>
      <c r="AG87" s="3">
        <v>13.83</v>
      </c>
    </row>
    <row r="88" spans="1:33" x14ac:dyDescent="0.75">
      <c r="A88" t="s">
        <v>124</v>
      </c>
      <c r="B88" s="1">
        <v>64672</v>
      </c>
      <c r="C88" s="2">
        <v>0.48959999999999998</v>
      </c>
      <c r="D88" s="2">
        <v>0.51039999999999996</v>
      </c>
      <c r="E88" s="2">
        <v>0</v>
      </c>
      <c r="F88" s="1">
        <v>64155</v>
      </c>
      <c r="G88">
        <v>517</v>
      </c>
      <c r="H88" s="1">
        <v>21251</v>
      </c>
      <c r="I88" s="1">
        <v>43421</v>
      </c>
      <c r="J88" s="2">
        <v>0.66549999999999998</v>
      </c>
      <c r="K88" s="2">
        <v>6.4000000000000003E-3</v>
      </c>
      <c r="L88" s="2">
        <v>1.6400000000000001E-2</v>
      </c>
      <c r="M88" s="2">
        <v>2.2499999999999999E-2</v>
      </c>
      <c r="N88" s="2">
        <v>0.20799999999999999</v>
      </c>
      <c r="O88" s="2">
        <v>8.1199999999999994E-2</v>
      </c>
      <c r="P88" s="2">
        <v>0.34649999999999997</v>
      </c>
      <c r="Q88" s="2">
        <v>6.59E-2</v>
      </c>
      <c r="R88">
        <v>5.25</v>
      </c>
      <c r="S88" s="1">
        <v>988755</v>
      </c>
      <c r="T88" s="2">
        <v>7.6399999999999996E-2</v>
      </c>
      <c r="U88" s="3">
        <v>38.090000000000003</v>
      </c>
      <c r="V88" s="1">
        <v>459039</v>
      </c>
      <c r="W88" s="2">
        <v>7.2300000000000003E-2</v>
      </c>
      <c r="X88" s="3">
        <v>18.7</v>
      </c>
      <c r="Y88" s="1">
        <v>180663</v>
      </c>
      <c r="Z88" s="2">
        <v>5.8700000000000002E-2</v>
      </c>
      <c r="AA88" s="3">
        <v>9.07</v>
      </c>
      <c r="AB88" s="1">
        <v>161705</v>
      </c>
      <c r="AC88" s="2">
        <v>3.7499999999999999E-2</v>
      </c>
      <c r="AD88" s="3">
        <v>12.69</v>
      </c>
      <c r="AE88" s="1">
        <v>572644</v>
      </c>
      <c r="AF88" s="2">
        <v>0.20680000000000001</v>
      </c>
      <c r="AG88" s="3">
        <v>8.15</v>
      </c>
    </row>
    <row r="89" spans="1:33" x14ac:dyDescent="0.75">
      <c r="A89" t="s">
        <v>125</v>
      </c>
      <c r="B89" s="1">
        <v>60837</v>
      </c>
      <c r="C89" s="2">
        <v>0.42820000000000003</v>
      </c>
      <c r="D89" s="2">
        <v>0.51419999999999999</v>
      </c>
      <c r="E89" s="2">
        <v>5.7599999999999998E-2</v>
      </c>
      <c r="F89" s="1">
        <v>60330</v>
      </c>
      <c r="G89">
        <v>507</v>
      </c>
      <c r="H89" s="1">
        <v>14519</v>
      </c>
      <c r="I89" s="1">
        <v>46318</v>
      </c>
      <c r="J89" s="2">
        <v>0.65620000000000001</v>
      </c>
      <c r="K89" s="2">
        <v>5.4399999999999997E-2</v>
      </c>
      <c r="L89" s="2">
        <v>3.8300000000000001E-2</v>
      </c>
      <c r="M89" s="2">
        <v>6.9699999999999998E-2</v>
      </c>
      <c r="N89" s="2">
        <v>0.1419</v>
      </c>
      <c r="O89" s="2">
        <v>3.95E-2</v>
      </c>
      <c r="P89" s="2">
        <v>0.31879999999999997</v>
      </c>
      <c r="Q89" s="2">
        <v>2.5399999999999999E-2</v>
      </c>
      <c r="R89">
        <v>4.1900000000000004</v>
      </c>
      <c r="S89" s="1">
        <v>818563</v>
      </c>
      <c r="T89" s="2">
        <v>9.9199999999999997E-2</v>
      </c>
      <c r="U89" s="3">
        <v>32.36</v>
      </c>
      <c r="V89" s="1">
        <v>243897</v>
      </c>
      <c r="W89" s="2">
        <v>5.7799999999999997E-2</v>
      </c>
      <c r="X89" s="3">
        <v>16.55</v>
      </c>
      <c r="Y89" s="1">
        <v>72198</v>
      </c>
      <c r="Z89" s="2">
        <v>3.1399999999999997E-2</v>
      </c>
      <c r="AA89" s="3">
        <v>9.02</v>
      </c>
      <c r="AB89" s="1">
        <v>15758</v>
      </c>
      <c r="AC89" s="2">
        <v>5.1999999999999998E-3</v>
      </c>
      <c r="AD89" s="3">
        <v>11.98</v>
      </c>
      <c r="AE89" s="1">
        <v>174069</v>
      </c>
      <c r="AF89" s="2">
        <v>3.9399999999999998E-2</v>
      </c>
      <c r="AG89" s="3">
        <v>17.34</v>
      </c>
    </row>
    <row r="90" spans="1:33" x14ac:dyDescent="0.75">
      <c r="A90" t="s">
        <v>126</v>
      </c>
      <c r="B90" s="1">
        <v>60573</v>
      </c>
      <c r="C90" s="2">
        <v>0.51200000000000001</v>
      </c>
      <c r="D90" s="2">
        <v>0.48799999999999999</v>
      </c>
      <c r="E90" s="2">
        <v>0</v>
      </c>
      <c r="F90" s="1">
        <v>59947</v>
      </c>
      <c r="G90">
        <v>626</v>
      </c>
      <c r="H90" s="1">
        <v>15577</v>
      </c>
      <c r="I90" s="1">
        <v>44996</v>
      </c>
      <c r="J90" s="2">
        <v>0.64629999999999999</v>
      </c>
      <c r="K90" s="2">
        <v>7.2300000000000003E-2</v>
      </c>
      <c r="L90" s="2">
        <v>2.0899999999999998E-2</v>
      </c>
      <c r="M90" s="2">
        <v>4.3999999999999997E-2</v>
      </c>
      <c r="N90" s="2">
        <v>0.16289999999999999</v>
      </c>
      <c r="O90" s="2">
        <v>5.3699999999999998E-2</v>
      </c>
      <c r="P90" s="2">
        <v>0.37919999999999998</v>
      </c>
      <c r="Q90" s="2">
        <v>2.9600000000000001E-2</v>
      </c>
      <c r="R90">
        <v>3.82</v>
      </c>
      <c r="S90" s="1">
        <v>889578</v>
      </c>
      <c r="T90" s="2">
        <v>0.11459999999999999</v>
      </c>
      <c r="U90" s="3">
        <v>33.58</v>
      </c>
      <c r="V90" s="1">
        <v>216849</v>
      </c>
      <c r="W90" s="2">
        <v>5.57E-2</v>
      </c>
      <c r="X90" s="3">
        <v>16.84</v>
      </c>
      <c r="Y90" s="1">
        <v>68337</v>
      </c>
      <c r="Z90" s="2">
        <v>3.1399999999999997E-2</v>
      </c>
      <c r="AA90" s="3">
        <v>9.4</v>
      </c>
      <c r="AB90" s="1">
        <v>55598</v>
      </c>
      <c r="AC90" s="2">
        <v>1.83E-2</v>
      </c>
      <c r="AD90" s="3">
        <v>13.14</v>
      </c>
      <c r="AE90" s="1">
        <v>129890</v>
      </c>
      <c r="AF90" s="2">
        <v>3.1199999999999999E-2</v>
      </c>
      <c r="AG90" s="3">
        <v>18.03</v>
      </c>
    </row>
    <row r="91" spans="1:33" x14ac:dyDescent="0.75">
      <c r="A91" t="s">
        <v>127</v>
      </c>
      <c r="B91" s="1">
        <v>60464</v>
      </c>
      <c r="C91" s="2">
        <v>0.4239</v>
      </c>
      <c r="D91" s="2">
        <v>0.57609999999999995</v>
      </c>
      <c r="E91" s="2">
        <v>0</v>
      </c>
      <c r="F91" s="1">
        <v>58763</v>
      </c>
      <c r="G91" s="1">
        <v>1701</v>
      </c>
      <c r="H91" s="1">
        <v>8017</v>
      </c>
      <c r="I91" s="1">
        <v>52447</v>
      </c>
      <c r="J91" s="2">
        <v>0.59560000000000002</v>
      </c>
      <c r="K91" s="2">
        <v>4.2299999999999997E-2</v>
      </c>
      <c r="L91" s="2">
        <v>1.4800000000000001E-2</v>
      </c>
      <c r="M91" s="2">
        <v>6.0199999999999997E-2</v>
      </c>
      <c r="N91" s="2">
        <v>0.2034</v>
      </c>
      <c r="O91" s="2">
        <v>8.3699999999999997E-2</v>
      </c>
      <c r="P91" s="2">
        <v>0.26079999999999998</v>
      </c>
      <c r="Q91" s="2">
        <v>4.3299999999999998E-2</v>
      </c>
      <c r="R91">
        <v>4.8</v>
      </c>
      <c r="S91" s="1">
        <v>810564</v>
      </c>
      <c r="T91" s="2">
        <v>7.0000000000000007E-2</v>
      </c>
      <c r="U91" s="3">
        <v>39.85</v>
      </c>
      <c r="V91" s="1">
        <v>264055</v>
      </c>
      <c r="W91" s="2">
        <v>4.87E-2</v>
      </c>
      <c r="X91" s="3">
        <v>18.649999999999999</v>
      </c>
      <c r="Y91" s="1">
        <v>35845</v>
      </c>
      <c r="Z91" s="2">
        <v>1.4E-2</v>
      </c>
      <c r="AA91" s="3">
        <v>8.82</v>
      </c>
      <c r="AB91" s="1">
        <v>792705</v>
      </c>
      <c r="AC91" s="2">
        <v>0.217</v>
      </c>
      <c r="AD91" s="3">
        <v>12.58</v>
      </c>
      <c r="AE91" s="1">
        <v>276559</v>
      </c>
      <c r="AF91" s="2">
        <v>9.8000000000000004E-2</v>
      </c>
      <c r="AG91" s="3">
        <v>9.7200000000000006</v>
      </c>
    </row>
    <row r="92" spans="1:33" x14ac:dyDescent="0.75">
      <c r="A92" t="s">
        <v>128</v>
      </c>
      <c r="B92" s="1">
        <v>60208</v>
      </c>
      <c r="C92" s="2">
        <v>0.51990000000000003</v>
      </c>
      <c r="D92" s="2">
        <v>0.48010000000000003</v>
      </c>
      <c r="E92" s="2">
        <v>0</v>
      </c>
      <c r="F92" s="1">
        <v>59374</v>
      </c>
      <c r="G92">
        <v>834</v>
      </c>
      <c r="H92" s="1">
        <v>18163</v>
      </c>
      <c r="I92" s="1">
        <v>42045</v>
      </c>
      <c r="J92" s="2">
        <v>0.68830000000000002</v>
      </c>
      <c r="K92" s="2">
        <v>1.7299999999999999E-2</v>
      </c>
      <c r="L92" s="2">
        <v>2.12E-2</v>
      </c>
      <c r="M92" s="2">
        <v>3.3799999999999997E-2</v>
      </c>
      <c r="N92" s="2">
        <v>0.1918</v>
      </c>
      <c r="O92" s="2">
        <v>4.7600000000000003E-2</v>
      </c>
      <c r="P92" s="2">
        <v>0.37509999999999999</v>
      </c>
      <c r="Q92" s="2">
        <v>3.7499999999999999E-2</v>
      </c>
      <c r="R92">
        <v>4.17</v>
      </c>
      <c r="S92" s="1">
        <v>595350</v>
      </c>
      <c r="T92" s="2">
        <v>0.1386</v>
      </c>
      <c r="U92" s="3">
        <v>17.09</v>
      </c>
      <c r="V92" s="1">
        <v>132037</v>
      </c>
      <c r="W92" s="2">
        <v>2.6499999999999999E-2</v>
      </c>
      <c r="X92" s="3">
        <v>19.809999999999999</v>
      </c>
      <c r="Y92" s="1">
        <v>55708</v>
      </c>
      <c r="Z92" s="2">
        <v>2.4500000000000001E-2</v>
      </c>
      <c r="AA92" s="3">
        <v>9.06</v>
      </c>
      <c r="AB92" s="1">
        <v>193896</v>
      </c>
      <c r="AC92" s="2">
        <v>3.0599999999999999E-2</v>
      </c>
      <c r="AD92" s="3">
        <v>25.22</v>
      </c>
      <c r="AE92" s="1">
        <v>176141</v>
      </c>
      <c r="AF92" s="2">
        <v>5.5199999999999999E-2</v>
      </c>
      <c r="AG92" s="3">
        <v>12.69</v>
      </c>
    </row>
    <row r="93" spans="1:33" x14ac:dyDescent="0.75">
      <c r="A93" t="s">
        <v>129</v>
      </c>
      <c r="B93" s="1">
        <v>58761</v>
      </c>
      <c r="C93" s="2">
        <v>0.58120000000000005</v>
      </c>
      <c r="D93" s="2">
        <v>0.41880000000000001</v>
      </c>
      <c r="E93" s="2">
        <v>0</v>
      </c>
      <c r="F93" s="1">
        <v>57464</v>
      </c>
      <c r="G93" s="1">
        <v>1297</v>
      </c>
      <c r="H93" s="1">
        <v>24661</v>
      </c>
      <c r="I93" s="1">
        <v>34100</v>
      </c>
      <c r="J93" s="2">
        <v>0.78239999999999998</v>
      </c>
      <c r="K93" s="2">
        <v>6.1000000000000004E-3</v>
      </c>
      <c r="L93" s="2">
        <v>1.01E-2</v>
      </c>
      <c r="M93" s="2">
        <v>4.2599999999999999E-2</v>
      </c>
      <c r="N93" s="2">
        <v>0.13089999999999999</v>
      </c>
      <c r="O93" s="2">
        <v>2.7900000000000001E-2</v>
      </c>
      <c r="P93" s="2">
        <v>0.43819999999999998</v>
      </c>
      <c r="Q93" s="2">
        <v>3.8800000000000001E-2</v>
      </c>
      <c r="R93">
        <v>3.75</v>
      </c>
      <c r="S93" s="1">
        <v>636491</v>
      </c>
      <c r="T93" s="2">
        <v>7.7899999999999997E-2</v>
      </c>
      <c r="U93" s="3">
        <v>37.049999999999997</v>
      </c>
      <c r="V93" s="1">
        <v>132599</v>
      </c>
      <c r="W93" s="2">
        <v>3.0499999999999999E-2</v>
      </c>
      <c r="X93" s="3">
        <v>19.73</v>
      </c>
      <c r="Y93" s="1">
        <v>41270</v>
      </c>
      <c r="Z93" s="2">
        <v>2.0400000000000001E-2</v>
      </c>
      <c r="AA93" s="3">
        <v>9.17</v>
      </c>
      <c r="AB93">
        <v>921</v>
      </c>
      <c r="AC93" s="2">
        <v>2.0000000000000001E-4</v>
      </c>
      <c r="AD93" s="3">
        <v>20.11</v>
      </c>
      <c r="AE93" s="1">
        <v>148001</v>
      </c>
      <c r="AF93" s="2">
        <v>5.7599999999999998E-2</v>
      </c>
      <c r="AG93" s="3">
        <v>11.65</v>
      </c>
    </row>
    <row r="94" spans="1:33" x14ac:dyDescent="0.75">
      <c r="A94" t="s">
        <v>130</v>
      </c>
      <c r="B94" s="1">
        <v>57293</v>
      </c>
      <c r="C94" s="2">
        <v>0.54179999999999995</v>
      </c>
      <c r="D94" s="2">
        <v>0.38159999999999999</v>
      </c>
      <c r="E94" s="2">
        <v>7.6600000000000001E-2</v>
      </c>
      <c r="F94" s="1">
        <v>56466</v>
      </c>
      <c r="G94">
        <v>827</v>
      </c>
      <c r="H94" s="1">
        <v>21186</v>
      </c>
      <c r="I94" s="1">
        <v>36107</v>
      </c>
      <c r="J94" s="2">
        <v>0.71689999999999998</v>
      </c>
      <c r="K94" s="2">
        <v>1.4999999999999999E-2</v>
      </c>
      <c r="L94" s="2">
        <v>1.4999999999999999E-2</v>
      </c>
      <c r="M94" s="2">
        <v>4.1799999999999997E-2</v>
      </c>
      <c r="N94" s="2">
        <v>0.17460000000000001</v>
      </c>
      <c r="O94" s="2">
        <v>3.6700000000000003E-2</v>
      </c>
      <c r="P94" s="2">
        <v>0.3851</v>
      </c>
      <c r="Q94" s="2">
        <v>2.2800000000000001E-2</v>
      </c>
      <c r="R94">
        <v>3.51</v>
      </c>
      <c r="S94" s="1">
        <v>613015</v>
      </c>
      <c r="T94" s="2">
        <v>7.3599999999999999E-2</v>
      </c>
      <c r="U94" s="3">
        <v>41.38</v>
      </c>
      <c r="V94" s="1">
        <v>190736</v>
      </c>
      <c r="W94" s="2">
        <v>5.2200000000000003E-2</v>
      </c>
      <c r="X94" s="3">
        <v>18.16</v>
      </c>
      <c r="Y94" s="1">
        <v>72758</v>
      </c>
      <c r="Z94" s="2">
        <v>3.8399999999999997E-2</v>
      </c>
      <c r="AA94" s="3">
        <v>9.41</v>
      </c>
      <c r="AB94" s="1">
        <v>11714</v>
      </c>
      <c r="AC94" s="2">
        <v>4.7999999999999996E-3</v>
      </c>
      <c r="AD94" s="3">
        <v>12.13</v>
      </c>
      <c r="AE94" s="1">
        <v>161123</v>
      </c>
      <c r="AF94" s="2">
        <v>6.13E-2</v>
      </c>
      <c r="AG94" s="3">
        <v>13.06</v>
      </c>
    </row>
    <row r="95" spans="1:33" x14ac:dyDescent="0.75">
      <c r="A95" t="s">
        <v>131</v>
      </c>
      <c r="B95" s="1">
        <v>57140</v>
      </c>
      <c r="C95" s="2">
        <v>0.52910000000000001</v>
      </c>
      <c r="D95" s="2">
        <v>0.47089999999999999</v>
      </c>
      <c r="E95" s="2">
        <v>0</v>
      </c>
      <c r="F95" s="1">
        <v>56013</v>
      </c>
      <c r="G95" s="1">
        <v>1127</v>
      </c>
      <c r="H95" s="1">
        <v>20698</v>
      </c>
      <c r="I95" s="1">
        <v>36442</v>
      </c>
      <c r="J95" s="2">
        <v>0.70469999999999999</v>
      </c>
      <c r="K95" s="2">
        <v>1.6500000000000001E-2</v>
      </c>
      <c r="L95" s="2">
        <v>3.2399999999999998E-2</v>
      </c>
      <c r="M95" s="2">
        <v>4.9099999999999998E-2</v>
      </c>
      <c r="N95" s="2">
        <v>0.15060000000000001</v>
      </c>
      <c r="O95" s="2">
        <v>4.6800000000000001E-2</v>
      </c>
      <c r="P95" s="2">
        <v>0.38619999999999999</v>
      </c>
      <c r="Q95" s="2">
        <v>2.46E-2</v>
      </c>
      <c r="R95">
        <v>4.5599999999999996</v>
      </c>
      <c r="S95" s="1">
        <v>590093</v>
      </c>
      <c r="T95" s="2">
        <v>6.7799999999999999E-2</v>
      </c>
      <c r="U95" s="3">
        <v>33.4</v>
      </c>
      <c r="V95" s="1">
        <v>140352</v>
      </c>
      <c r="W95" s="2">
        <v>3.0200000000000001E-2</v>
      </c>
      <c r="X95" s="3">
        <v>17.809999999999999</v>
      </c>
      <c r="Y95" s="1">
        <v>57819</v>
      </c>
      <c r="Z95" s="2">
        <v>2.53E-2</v>
      </c>
      <c r="AA95" s="3">
        <v>8.77</v>
      </c>
      <c r="AB95">
        <v>0</v>
      </c>
      <c r="AE95" s="1">
        <v>161299</v>
      </c>
      <c r="AF95" s="2">
        <v>5.6099999999999997E-2</v>
      </c>
      <c r="AG95" s="3">
        <v>11.03</v>
      </c>
    </row>
    <row r="96" spans="1:33" x14ac:dyDescent="0.75">
      <c r="A96" t="s">
        <v>132</v>
      </c>
      <c r="B96" s="1">
        <v>54926</v>
      </c>
      <c r="C96" s="2">
        <v>0.46970000000000001</v>
      </c>
      <c r="D96" s="2">
        <v>0.53029999999999999</v>
      </c>
      <c r="E96" s="2">
        <v>0</v>
      </c>
      <c r="F96" s="1">
        <v>54533</v>
      </c>
      <c r="G96">
        <v>393</v>
      </c>
      <c r="H96" s="1">
        <v>20608</v>
      </c>
      <c r="I96" s="1">
        <v>34318</v>
      </c>
      <c r="J96" s="2">
        <v>0.69540000000000002</v>
      </c>
      <c r="K96" s="2">
        <v>1.9599999999999999E-2</v>
      </c>
      <c r="L96" s="2">
        <v>2.4799999999999999E-2</v>
      </c>
      <c r="M96" s="2">
        <v>4.4200000000000003E-2</v>
      </c>
      <c r="N96" s="2">
        <v>0.18390000000000001</v>
      </c>
      <c r="O96" s="2">
        <v>3.2199999999999999E-2</v>
      </c>
      <c r="P96" s="2">
        <v>0.36899999999999999</v>
      </c>
      <c r="Q96" s="2">
        <v>4.7399999999999998E-2</v>
      </c>
      <c r="R96">
        <v>4.3099999999999996</v>
      </c>
      <c r="S96" s="1">
        <v>771900</v>
      </c>
      <c r="T96" s="2">
        <v>8.0199999999999994E-2</v>
      </c>
      <c r="U96" s="3">
        <v>40.619999999999997</v>
      </c>
      <c r="V96" s="1">
        <v>118520</v>
      </c>
      <c r="W96" s="2">
        <v>2.2499999999999999E-2</v>
      </c>
      <c r="X96" s="3">
        <v>22.19</v>
      </c>
      <c r="Y96" s="1">
        <v>51853</v>
      </c>
      <c r="Z96" s="2">
        <v>2.4E-2</v>
      </c>
      <c r="AA96" s="3">
        <v>9.11</v>
      </c>
      <c r="AB96" s="1">
        <v>22828</v>
      </c>
      <c r="AC96" s="2">
        <v>7.6E-3</v>
      </c>
      <c r="AD96" s="3">
        <v>12.62</v>
      </c>
      <c r="AE96" s="1">
        <v>100203</v>
      </c>
      <c r="AF96" s="2">
        <v>3.5999999999999997E-2</v>
      </c>
      <c r="AG96" s="3">
        <v>11.76</v>
      </c>
    </row>
    <row r="97" spans="1:33" x14ac:dyDescent="0.75">
      <c r="A97" t="s">
        <v>133</v>
      </c>
      <c r="B97" s="1">
        <v>53491</v>
      </c>
      <c r="C97" s="2">
        <v>0.70250000000000001</v>
      </c>
      <c r="D97" s="2">
        <v>0.29749999999999999</v>
      </c>
      <c r="E97" s="2">
        <v>0</v>
      </c>
      <c r="F97" s="1">
        <v>52749</v>
      </c>
      <c r="G97">
        <v>742</v>
      </c>
      <c r="H97" s="1">
        <v>31834</v>
      </c>
      <c r="I97" s="1">
        <v>21657</v>
      </c>
      <c r="J97" s="2">
        <v>0.82630000000000003</v>
      </c>
      <c r="K97" s="2">
        <v>0.01</v>
      </c>
      <c r="L97" s="2">
        <v>1.15E-2</v>
      </c>
      <c r="M97" s="2">
        <v>3.04E-2</v>
      </c>
      <c r="N97" s="2">
        <v>9.8199999999999996E-2</v>
      </c>
      <c r="O97" s="2">
        <v>2.3699999999999999E-2</v>
      </c>
      <c r="P97" s="2">
        <v>0.56340000000000001</v>
      </c>
      <c r="Q97" s="2">
        <v>2.5100000000000001E-2</v>
      </c>
      <c r="R97">
        <v>3.49</v>
      </c>
      <c r="S97" s="1">
        <v>364133</v>
      </c>
      <c r="T97" s="2">
        <v>6.9000000000000006E-2</v>
      </c>
      <c r="U97" s="3">
        <v>28.28</v>
      </c>
      <c r="V97" s="1">
        <v>118966</v>
      </c>
      <c r="W97" s="2">
        <v>3.2500000000000001E-2</v>
      </c>
      <c r="X97" s="3">
        <v>19.62</v>
      </c>
      <c r="Y97" s="1">
        <v>7466</v>
      </c>
      <c r="Z97" s="2">
        <v>4.4000000000000003E-3</v>
      </c>
      <c r="AA97" s="3">
        <v>9.02</v>
      </c>
      <c r="AB97">
        <v>0</v>
      </c>
      <c r="AE97" s="1">
        <v>136153</v>
      </c>
      <c r="AF97" s="2">
        <v>6.6799999999999998E-2</v>
      </c>
      <c r="AG97" s="3">
        <v>10.93</v>
      </c>
    </row>
    <row r="98" spans="1:33" x14ac:dyDescent="0.75">
      <c r="A98" t="s">
        <v>134</v>
      </c>
      <c r="B98" s="1">
        <v>50248</v>
      </c>
      <c r="C98" s="2">
        <v>0.54920000000000002</v>
      </c>
      <c r="D98" s="2">
        <v>0.45079999999999998</v>
      </c>
      <c r="E98" s="2">
        <v>0</v>
      </c>
      <c r="F98" s="1">
        <v>49392</v>
      </c>
      <c r="G98">
        <v>856</v>
      </c>
      <c r="H98" s="1">
        <v>18329</v>
      </c>
      <c r="I98" s="1">
        <v>31919</v>
      </c>
      <c r="J98" s="2">
        <v>0.74360000000000004</v>
      </c>
      <c r="K98" s="2">
        <v>1.1900000000000001E-2</v>
      </c>
      <c r="L98" s="2">
        <v>0.03</v>
      </c>
      <c r="M98" s="2">
        <v>4.36E-2</v>
      </c>
      <c r="N98" s="2">
        <v>0.14230000000000001</v>
      </c>
      <c r="O98" s="2">
        <v>2.87E-2</v>
      </c>
      <c r="P98" s="2">
        <v>0.4108</v>
      </c>
      <c r="Q98" s="2">
        <v>4.6399999999999997E-2</v>
      </c>
      <c r="R98">
        <v>3.93</v>
      </c>
      <c r="S98" s="1">
        <v>386999</v>
      </c>
      <c r="T98" s="2">
        <v>5.5800000000000002E-2</v>
      </c>
      <c r="U98" s="3">
        <v>35.159999999999997</v>
      </c>
      <c r="V98" s="1">
        <v>106933</v>
      </c>
      <c r="W98" s="2">
        <v>2.58E-2</v>
      </c>
      <c r="X98" s="3">
        <v>21</v>
      </c>
      <c r="Y98" s="1">
        <v>29018</v>
      </c>
      <c r="Z98" s="2">
        <v>1.66E-2</v>
      </c>
      <c r="AA98" s="3">
        <v>8.8800000000000008</v>
      </c>
      <c r="AB98" s="1">
        <v>22048</v>
      </c>
      <c r="AC98" s="2">
        <v>9.1000000000000004E-3</v>
      </c>
      <c r="AD98" s="3">
        <v>12.27</v>
      </c>
      <c r="AE98" s="1">
        <v>135540</v>
      </c>
      <c r="AF98" s="2">
        <v>5.0599999999999999E-2</v>
      </c>
      <c r="AG98" s="3">
        <v>13.57</v>
      </c>
    </row>
    <row r="99" spans="1:33" x14ac:dyDescent="0.75">
      <c r="A99" t="s">
        <v>135</v>
      </c>
      <c r="B99" s="1">
        <v>48189</v>
      </c>
      <c r="C99" s="2">
        <v>0.49869999999999998</v>
      </c>
      <c r="D99" s="2">
        <v>0.50129999999999997</v>
      </c>
      <c r="E99" s="2">
        <v>0</v>
      </c>
      <c r="F99" s="1">
        <v>47819</v>
      </c>
      <c r="G99">
        <v>370</v>
      </c>
      <c r="H99" s="1">
        <v>13688</v>
      </c>
      <c r="I99" s="1">
        <v>34501</v>
      </c>
      <c r="J99" s="2">
        <v>0.60270000000000001</v>
      </c>
      <c r="K99" s="2">
        <v>1.06E-2</v>
      </c>
      <c r="L99" s="2">
        <v>2.0500000000000001E-2</v>
      </c>
      <c r="M99" s="2">
        <v>4.2900000000000001E-2</v>
      </c>
      <c r="N99" s="2">
        <v>0.2402</v>
      </c>
      <c r="O99" s="2">
        <v>8.3199999999999996E-2</v>
      </c>
      <c r="P99" s="2">
        <v>0.35639999999999999</v>
      </c>
      <c r="Q99" s="2">
        <v>8.1600000000000006E-2</v>
      </c>
      <c r="R99">
        <v>5.18</v>
      </c>
      <c r="S99" s="1">
        <v>793024</v>
      </c>
      <c r="T99" s="2">
        <v>8.0600000000000005E-2</v>
      </c>
      <c r="U99" s="3">
        <v>39.4</v>
      </c>
      <c r="V99" s="1">
        <v>194724</v>
      </c>
      <c r="W99" s="2">
        <v>4.1300000000000003E-2</v>
      </c>
      <c r="X99" s="3">
        <v>18.87</v>
      </c>
      <c r="Y99" s="1">
        <v>75702</v>
      </c>
      <c r="Z99" s="2">
        <v>3.3399999999999999E-2</v>
      </c>
      <c r="AA99" s="3">
        <v>9.08</v>
      </c>
      <c r="AB99" s="1">
        <v>19391</v>
      </c>
      <c r="AC99" s="2">
        <v>5.8999999999999999E-3</v>
      </c>
      <c r="AD99" s="3">
        <v>13.07</v>
      </c>
      <c r="AE99" s="1">
        <v>384436</v>
      </c>
      <c r="AF99" s="2">
        <v>0.15989999999999999</v>
      </c>
      <c r="AG99" s="3">
        <v>9.6300000000000008</v>
      </c>
    </row>
    <row r="100" spans="1:33" x14ac:dyDescent="0.75">
      <c r="A100" t="s">
        <v>136</v>
      </c>
      <c r="B100" s="1">
        <v>46693</v>
      </c>
      <c r="C100" s="2">
        <v>0.30459999999999998</v>
      </c>
      <c r="D100" s="2">
        <v>0.6633</v>
      </c>
      <c r="E100" s="2">
        <v>3.2099999999999997E-2</v>
      </c>
      <c r="F100" s="1">
        <v>45945</v>
      </c>
      <c r="G100">
        <v>748</v>
      </c>
      <c r="H100" s="1">
        <v>4463</v>
      </c>
      <c r="I100" s="1">
        <v>42230</v>
      </c>
      <c r="J100" s="2">
        <v>0.69779999999999998</v>
      </c>
      <c r="K100" s="2">
        <v>6.7000000000000002E-3</v>
      </c>
      <c r="L100" s="2">
        <v>1.78E-2</v>
      </c>
      <c r="M100" s="2">
        <v>3.7900000000000003E-2</v>
      </c>
      <c r="N100" s="2">
        <v>0.17469999999999999</v>
      </c>
      <c r="O100" s="2">
        <v>6.5000000000000002E-2</v>
      </c>
      <c r="P100" s="2">
        <v>0.2268</v>
      </c>
      <c r="Q100" s="2">
        <v>1.7600000000000001E-2</v>
      </c>
      <c r="R100">
        <v>5.44</v>
      </c>
      <c r="S100" s="1">
        <v>754479</v>
      </c>
      <c r="T100" s="2">
        <v>7.8E-2</v>
      </c>
      <c r="U100" s="3">
        <v>38.049999999999997</v>
      </c>
      <c r="V100" s="1">
        <v>341285</v>
      </c>
      <c r="W100" s="2">
        <v>7.2800000000000004E-2</v>
      </c>
      <c r="X100" s="3">
        <v>18.440000000000001</v>
      </c>
      <c r="Y100" s="1">
        <v>184826</v>
      </c>
      <c r="Z100" s="2">
        <v>8.3699999999999997E-2</v>
      </c>
      <c r="AA100" s="3">
        <v>8.68</v>
      </c>
      <c r="AB100" s="1">
        <v>227071</v>
      </c>
      <c r="AC100" s="2">
        <v>7.3899999999999993E-2</v>
      </c>
      <c r="AD100" s="3">
        <v>12.08</v>
      </c>
      <c r="AE100" s="1">
        <v>127443</v>
      </c>
      <c r="AF100" s="2">
        <v>5.9299999999999999E-2</v>
      </c>
      <c r="AG100" s="3">
        <v>8.4499999999999993</v>
      </c>
    </row>
    <row r="101" spans="1:33" x14ac:dyDescent="0.75">
      <c r="A101" t="s">
        <v>137</v>
      </c>
      <c r="B101" s="1">
        <v>45969</v>
      </c>
      <c r="C101" s="2">
        <v>0.37390000000000001</v>
      </c>
      <c r="D101" s="2">
        <v>0.62609999999999999</v>
      </c>
      <c r="E101" s="2">
        <v>0</v>
      </c>
      <c r="F101" s="1">
        <v>44926</v>
      </c>
      <c r="G101" s="1">
        <v>1043</v>
      </c>
      <c r="H101" s="1">
        <v>6352</v>
      </c>
      <c r="I101" s="1">
        <v>39617</v>
      </c>
      <c r="J101" s="2">
        <v>0.63780000000000003</v>
      </c>
      <c r="K101" s="2">
        <v>7.7000000000000002E-3</v>
      </c>
      <c r="L101" s="2">
        <v>1.32E-2</v>
      </c>
      <c r="M101" s="2">
        <v>3.9199999999999999E-2</v>
      </c>
      <c r="N101" s="2">
        <v>0.22939999999999999</v>
      </c>
      <c r="O101" s="2">
        <v>7.2599999999999998E-2</v>
      </c>
      <c r="P101" s="2">
        <v>0.2379</v>
      </c>
      <c r="Q101" s="2">
        <v>2.9000000000000001E-2</v>
      </c>
      <c r="R101">
        <v>4.92</v>
      </c>
      <c r="S101" s="1">
        <v>917977</v>
      </c>
      <c r="T101" s="2">
        <v>9.8100000000000007E-2</v>
      </c>
      <c r="U101" s="3">
        <v>41.36</v>
      </c>
      <c r="V101" s="1">
        <v>209310</v>
      </c>
      <c r="W101" s="2">
        <v>4.9599999999999998E-2</v>
      </c>
      <c r="X101" s="3">
        <v>18.670000000000002</v>
      </c>
      <c r="Y101" s="1">
        <v>26392</v>
      </c>
      <c r="Z101" s="2">
        <v>1.35E-2</v>
      </c>
      <c r="AA101" s="3">
        <v>8.67</v>
      </c>
      <c r="AB101" s="1">
        <v>364855</v>
      </c>
      <c r="AC101" s="2">
        <v>0.1298</v>
      </c>
      <c r="AD101" s="3">
        <v>12.43</v>
      </c>
      <c r="AE101" s="1">
        <v>108148</v>
      </c>
      <c r="AF101" s="2">
        <v>5.0799999999999998E-2</v>
      </c>
      <c r="AG101" s="3">
        <v>9.41</v>
      </c>
    </row>
    <row r="102" spans="1:33" x14ac:dyDescent="0.75">
      <c r="A102" t="s">
        <v>138</v>
      </c>
      <c r="B102" s="1">
        <v>45560</v>
      </c>
      <c r="C102" s="2">
        <v>0.97499999999999998</v>
      </c>
      <c r="D102" s="2">
        <v>0</v>
      </c>
      <c r="E102" s="2">
        <v>2.5000000000000001E-2</v>
      </c>
      <c r="F102" s="1">
        <v>44858</v>
      </c>
      <c r="G102">
        <v>702</v>
      </c>
      <c r="H102" s="1">
        <v>20782</v>
      </c>
      <c r="I102" s="1">
        <v>24778</v>
      </c>
      <c r="J102" s="2">
        <v>0.75480000000000003</v>
      </c>
      <c r="K102" s="2">
        <v>1.1999999999999999E-3</v>
      </c>
      <c r="L102" s="2">
        <v>4.3E-3</v>
      </c>
      <c r="M102" s="2">
        <v>3.7600000000000001E-2</v>
      </c>
      <c r="N102" s="2">
        <v>0.1681</v>
      </c>
      <c r="O102" s="2">
        <v>3.4000000000000002E-2</v>
      </c>
      <c r="P102" s="2">
        <v>0.53910000000000002</v>
      </c>
      <c r="Q102" s="2">
        <v>2.6499999999999999E-2</v>
      </c>
      <c r="R102">
        <v>3.6</v>
      </c>
      <c r="S102" s="1">
        <v>334977</v>
      </c>
      <c r="T102" s="2">
        <v>7.4899999999999994E-2</v>
      </c>
      <c r="U102" s="3">
        <v>27.3</v>
      </c>
      <c r="V102" s="1">
        <v>96759</v>
      </c>
      <c r="W102" s="2">
        <v>3.0099999999999998E-2</v>
      </c>
      <c r="X102" s="3">
        <v>19.59</v>
      </c>
      <c r="Y102" s="1">
        <v>29577</v>
      </c>
      <c r="Z102" s="2">
        <v>1.9800000000000002E-2</v>
      </c>
      <c r="AA102" s="3">
        <v>9.11</v>
      </c>
      <c r="AB102">
        <v>108</v>
      </c>
      <c r="AC102" s="2">
        <v>1E-4</v>
      </c>
      <c r="AD102" s="3">
        <v>10.78</v>
      </c>
      <c r="AE102" s="1">
        <v>124587</v>
      </c>
      <c r="AF102" s="2">
        <v>5.0299999999999997E-2</v>
      </c>
      <c r="AG102" s="3">
        <v>15.13</v>
      </c>
    </row>
    <row r="103" spans="1:33" x14ac:dyDescent="0.75">
      <c r="A103" t="s">
        <v>139</v>
      </c>
      <c r="B103" s="1">
        <v>44973</v>
      </c>
      <c r="C103" s="2">
        <v>0.59130000000000005</v>
      </c>
      <c r="D103" s="2">
        <v>0.40870000000000001</v>
      </c>
      <c r="E103" s="2">
        <v>0</v>
      </c>
      <c r="F103" s="1">
        <v>44191</v>
      </c>
      <c r="G103">
        <v>782</v>
      </c>
      <c r="H103" s="1">
        <v>19391</v>
      </c>
      <c r="I103" s="1">
        <v>25582</v>
      </c>
      <c r="J103" s="2">
        <v>0.77</v>
      </c>
      <c r="K103" s="2">
        <v>0</v>
      </c>
      <c r="L103" s="2">
        <v>2.4400000000000002E-2</v>
      </c>
      <c r="M103" s="2">
        <v>5.2499999999999998E-2</v>
      </c>
      <c r="N103" s="2">
        <v>0.1249</v>
      </c>
      <c r="O103" s="2">
        <v>2.81E-2</v>
      </c>
      <c r="P103" s="2">
        <v>0.46150000000000002</v>
      </c>
      <c r="Q103" s="2">
        <v>1.1599999999999999E-2</v>
      </c>
      <c r="R103">
        <v>3.27</v>
      </c>
      <c r="S103" s="1">
        <v>355917</v>
      </c>
      <c r="T103" s="2">
        <v>6.1600000000000002E-2</v>
      </c>
      <c r="U103" s="3">
        <v>39.26</v>
      </c>
      <c r="V103" s="1">
        <v>91624</v>
      </c>
      <c r="W103" s="2">
        <v>3.2199999999999999E-2</v>
      </c>
      <c r="X103" s="3">
        <v>19.3</v>
      </c>
      <c r="Y103" s="1">
        <v>17923</v>
      </c>
      <c r="Z103" s="2">
        <v>1.3100000000000001E-2</v>
      </c>
      <c r="AA103" s="3">
        <v>9.2899999999999991</v>
      </c>
      <c r="AB103">
        <v>0</v>
      </c>
      <c r="AE103" s="1">
        <v>96605</v>
      </c>
      <c r="AF103" s="2">
        <v>5.4600000000000003E-2</v>
      </c>
      <c r="AG103" s="3">
        <v>12.01</v>
      </c>
    </row>
    <row r="104" spans="1:33" x14ac:dyDescent="0.75">
      <c r="A104" t="s">
        <v>140</v>
      </c>
      <c r="B104" s="1">
        <v>43854</v>
      </c>
      <c r="C104" s="2">
        <v>0.33289999999999997</v>
      </c>
      <c r="D104" s="2">
        <v>0.59660000000000002</v>
      </c>
      <c r="E104" s="2">
        <v>7.0499999999999993E-2</v>
      </c>
      <c r="F104" s="1">
        <v>41501</v>
      </c>
      <c r="G104" s="1">
        <v>2353</v>
      </c>
      <c r="H104" s="1">
        <v>10170</v>
      </c>
      <c r="I104" s="1">
        <v>33684</v>
      </c>
      <c r="J104" s="2">
        <v>0.66080000000000005</v>
      </c>
      <c r="K104" s="2">
        <v>1E-4</v>
      </c>
      <c r="L104" s="2">
        <v>8.2900000000000001E-2</v>
      </c>
      <c r="M104" s="2">
        <v>5.16E-2</v>
      </c>
      <c r="N104" s="2">
        <v>0.14130000000000001</v>
      </c>
      <c r="O104" s="2">
        <v>6.3299999999999995E-2</v>
      </c>
      <c r="P104" s="2">
        <v>0.29649999999999999</v>
      </c>
      <c r="Q104" s="2">
        <v>5.0599999999999999E-2</v>
      </c>
      <c r="R104">
        <v>2.83</v>
      </c>
      <c r="S104" s="1">
        <v>531342</v>
      </c>
      <c r="T104" s="2">
        <v>0.11940000000000001</v>
      </c>
      <c r="U104" s="3">
        <v>35.799999999999997</v>
      </c>
      <c r="V104" s="1">
        <v>81711</v>
      </c>
      <c r="W104" s="2">
        <v>3.9E-2</v>
      </c>
      <c r="X104" s="3">
        <v>16.88</v>
      </c>
      <c r="Y104" s="1">
        <v>81045</v>
      </c>
      <c r="Z104" s="2">
        <v>6.4899999999999999E-2</v>
      </c>
      <c r="AA104" s="3">
        <v>10.039999999999999</v>
      </c>
      <c r="AB104">
        <v>0</v>
      </c>
      <c r="AE104" s="1">
        <v>28939</v>
      </c>
      <c r="AF104" s="2">
        <v>0.01</v>
      </c>
      <c r="AG104" s="3">
        <v>23.35</v>
      </c>
    </row>
    <row r="105" spans="1:33" x14ac:dyDescent="0.75">
      <c r="A105" t="s">
        <v>141</v>
      </c>
      <c r="B105" s="1">
        <v>42734</v>
      </c>
      <c r="C105" s="2">
        <v>0.58340000000000003</v>
      </c>
      <c r="D105" s="2">
        <v>0.41660000000000003</v>
      </c>
      <c r="E105" s="2">
        <v>0</v>
      </c>
      <c r="F105" s="1">
        <v>42145</v>
      </c>
      <c r="G105">
        <v>589</v>
      </c>
      <c r="H105" s="1">
        <v>19486</v>
      </c>
      <c r="I105" s="1">
        <v>23248</v>
      </c>
      <c r="J105" s="2">
        <v>0.73570000000000002</v>
      </c>
      <c r="K105" s="2">
        <v>2.8500000000000001E-2</v>
      </c>
      <c r="L105" s="2">
        <v>1.7600000000000001E-2</v>
      </c>
      <c r="M105" s="2">
        <v>3.9100000000000003E-2</v>
      </c>
      <c r="N105" s="2">
        <v>0.14810000000000001</v>
      </c>
      <c r="O105" s="2">
        <v>3.1E-2</v>
      </c>
      <c r="P105" s="2">
        <v>0.44969999999999999</v>
      </c>
      <c r="Q105" s="2">
        <v>2.2499999999999999E-2</v>
      </c>
      <c r="R105">
        <v>4</v>
      </c>
      <c r="S105" s="1">
        <v>433516</v>
      </c>
      <c r="T105" s="2">
        <v>6.0900000000000003E-2</v>
      </c>
      <c r="U105" s="3">
        <v>41.63</v>
      </c>
      <c r="V105" s="1">
        <v>95327</v>
      </c>
      <c r="W105" s="2">
        <v>2.9100000000000001E-2</v>
      </c>
      <c r="X105" s="3">
        <v>19.16</v>
      </c>
      <c r="Y105" s="1">
        <v>60528</v>
      </c>
      <c r="Z105" s="2">
        <v>3.8399999999999997E-2</v>
      </c>
      <c r="AA105" s="3">
        <v>9.1999999999999993</v>
      </c>
      <c r="AB105" s="1">
        <v>14282</v>
      </c>
      <c r="AC105" s="2">
        <v>4.7999999999999996E-3</v>
      </c>
      <c r="AD105" s="3">
        <v>17.45</v>
      </c>
      <c r="AE105" s="1">
        <v>84223</v>
      </c>
      <c r="AF105" s="2">
        <v>4.3099999999999999E-2</v>
      </c>
      <c r="AG105" s="3">
        <v>11.43</v>
      </c>
    </row>
    <row r="106" spans="1:33" x14ac:dyDescent="0.75">
      <c r="A106" t="s">
        <v>142</v>
      </c>
      <c r="B106" s="1">
        <v>42390</v>
      </c>
      <c r="C106" s="2">
        <v>0.76339999999999997</v>
      </c>
      <c r="D106" s="2">
        <v>0.2366</v>
      </c>
      <c r="E106" s="2">
        <v>0</v>
      </c>
      <c r="F106" s="1">
        <v>41381</v>
      </c>
      <c r="G106" s="1">
        <v>1009</v>
      </c>
      <c r="H106" s="1">
        <v>22141</v>
      </c>
      <c r="I106" s="1">
        <v>20249</v>
      </c>
      <c r="J106" s="2">
        <v>0.69259999999999999</v>
      </c>
      <c r="K106" s="2">
        <v>2.0000000000000001E-4</v>
      </c>
      <c r="L106" s="2">
        <v>5.8599999999999999E-2</v>
      </c>
      <c r="M106" s="2">
        <v>2.2100000000000002E-2</v>
      </c>
      <c r="N106" s="2">
        <v>0.20899999999999999</v>
      </c>
      <c r="O106" s="2">
        <v>1.7500000000000002E-2</v>
      </c>
      <c r="P106" s="2">
        <v>0.49709999999999999</v>
      </c>
      <c r="Q106" s="2">
        <v>5.0799999999999998E-2</v>
      </c>
      <c r="R106">
        <v>3.45</v>
      </c>
      <c r="S106" s="1">
        <v>616460</v>
      </c>
      <c r="T106" s="2">
        <v>9.98E-2</v>
      </c>
      <c r="U106" s="3">
        <v>42.22</v>
      </c>
      <c r="V106" s="1">
        <v>166853</v>
      </c>
      <c r="W106" s="2">
        <v>5.3100000000000001E-2</v>
      </c>
      <c r="X106" s="3">
        <v>21.49</v>
      </c>
      <c r="Y106" s="1">
        <v>51177</v>
      </c>
      <c r="Z106" s="2">
        <v>3.8399999999999997E-2</v>
      </c>
      <c r="AA106" s="3">
        <v>9.11</v>
      </c>
      <c r="AB106" s="1">
        <v>8677</v>
      </c>
      <c r="AC106" s="2">
        <v>4.4000000000000003E-3</v>
      </c>
      <c r="AD106" s="3">
        <v>13.49</v>
      </c>
      <c r="AE106" s="1">
        <v>89351</v>
      </c>
      <c r="AF106" s="2">
        <v>4.24E-2</v>
      </c>
      <c r="AG106" s="3">
        <v>14.39</v>
      </c>
    </row>
    <row r="107" spans="1:33" x14ac:dyDescent="0.75">
      <c r="A107" t="s">
        <v>143</v>
      </c>
      <c r="B107" s="1">
        <v>41243</v>
      </c>
      <c r="C107" s="2">
        <v>0.50990000000000002</v>
      </c>
      <c r="D107" s="2">
        <v>0.49009999999999998</v>
      </c>
      <c r="E107" s="2">
        <v>0</v>
      </c>
      <c r="F107" s="1">
        <v>37399</v>
      </c>
      <c r="G107" s="1">
        <v>3844</v>
      </c>
      <c r="H107" s="1">
        <v>15376</v>
      </c>
      <c r="I107" s="1">
        <v>25867</v>
      </c>
      <c r="J107" s="2">
        <v>0.70250000000000001</v>
      </c>
      <c r="K107" s="2">
        <v>4.2200000000000001E-2</v>
      </c>
      <c r="L107" s="2">
        <v>1.44E-2</v>
      </c>
      <c r="M107" s="2">
        <v>4.9399999999999999E-2</v>
      </c>
      <c r="N107" s="2">
        <v>0.1376</v>
      </c>
      <c r="O107" s="2">
        <v>5.3900000000000003E-2</v>
      </c>
      <c r="P107" s="2">
        <v>0.41110000000000002</v>
      </c>
      <c r="Q107" s="2">
        <v>2.7199999999999998E-2</v>
      </c>
      <c r="R107">
        <v>4.5599999999999996</v>
      </c>
      <c r="S107" s="1">
        <v>324772</v>
      </c>
      <c r="T107" s="2">
        <v>4.1000000000000002E-2</v>
      </c>
      <c r="U107" s="3">
        <v>42.17</v>
      </c>
      <c r="V107" s="1">
        <v>87269</v>
      </c>
      <c r="W107" s="2">
        <v>2.47E-2</v>
      </c>
      <c r="X107" s="3">
        <v>18.8</v>
      </c>
      <c r="Y107" s="1">
        <v>22745</v>
      </c>
      <c r="Z107" s="2">
        <v>1.41E-2</v>
      </c>
      <c r="AA107" s="3">
        <v>8.61</v>
      </c>
      <c r="AB107" s="1">
        <v>149488</v>
      </c>
      <c r="AC107" s="2">
        <v>6.4600000000000005E-2</v>
      </c>
      <c r="AD107" s="3">
        <v>12.3</v>
      </c>
      <c r="AE107" s="1">
        <v>126094</v>
      </c>
      <c r="AF107" s="2">
        <v>8.9099999999999999E-2</v>
      </c>
      <c r="AG107" s="3">
        <v>7.53</v>
      </c>
    </row>
    <row r="108" spans="1:33" x14ac:dyDescent="0.75">
      <c r="A108" t="s">
        <v>144</v>
      </c>
      <c r="B108" s="1">
        <v>38747</v>
      </c>
      <c r="C108" s="2">
        <v>0.57169999999999999</v>
      </c>
      <c r="D108" s="2">
        <v>0.42830000000000001</v>
      </c>
      <c r="E108" s="2">
        <v>0</v>
      </c>
      <c r="F108" s="1">
        <v>38373</v>
      </c>
      <c r="G108">
        <v>374</v>
      </c>
      <c r="H108" s="1">
        <v>13773</v>
      </c>
      <c r="I108" s="1">
        <v>24974</v>
      </c>
      <c r="J108" s="2">
        <v>0.72199999999999998</v>
      </c>
      <c r="K108" s="2">
        <v>7.0499999999999993E-2</v>
      </c>
      <c r="L108" s="2">
        <v>1.8800000000000001E-2</v>
      </c>
      <c r="M108" s="2">
        <v>5.0299999999999997E-2</v>
      </c>
      <c r="N108" s="2">
        <v>0.1192</v>
      </c>
      <c r="O108" s="2">
        <v>1.9199999999999998E-2</v>
      </c>
      <c r="P108" s="2">
        <v>0.43140000000000001</v>
      </c>
      <c r="Q108" s="2">
        <v>4.07E-2</v>
      </c>
      <c r="R108">
        <v>4.3</v>
      </c>
      <c r="S108" s="1">
        <v>529319</v>
      </c>
      <c r="T108" s="2">
        <v>9.5899999999999999E-2</v>
      </c>
      <c r="U108" s="3">
        <v>33.14</v>
      </c>
      <c r="V108" s="1">
        <v>162838</v>
      </c>
      <c r="W108" s="2">
        <v>5.96E-2</v>
      </c>
      <c r="X108" s="3">
        <v>16.399999999999999</v>
      </c>
      <c r="Y108" s="1">
        <v>26109</v>
      </c>
      <c r="Z108" s="2">
        <v>1.7500000000000002E-2</v>
      </c>
      <c r="AA108" s="3">
        <v>8.94</v>
      </c>
      <c r="AB108" s="1">
        <v>9363</v>
      </c>
      <c r="AC108" s="2">
        <v>4.4000000000000003E-3</v>
      </c>
      <c r="AD108" s="3">
        <v>12.87</v>
      </c>
      <c r="AE108" s="1">
        <v>128464</v>
      </c>
      <c r="AF108" s="2">
        <v>4.7899999999999998E-2</v>
      </c>
      <c r="AG108" s="3">
        <v>16.100000000000001</v>
      </c>
    </row>
    <row r="109" spans="1:33" x14ac:dyDescent="0.75">
      <c r="A109" t="s">
        <v>145</v>
      </c>
      <c r="B109" s="1">
        <v>38031</v>
      </c>
      <c r="C109" s="2">
        <v>0.52280000000000004</v>
      </c>
      <c r="D109" s="2">
        <v>0.47720000000000001</v>
      </c>
      <c r="E109" s="2">
        <v>0</v>
      </c>
      <c r="F109" s="1">
        <v>37701</v>
      </c>
      <c r="G109">
        <v>330</v>
      </c>
      <c r="H109" s="1">
        <v>9594</v>
      </c>
      <c r="I109" s="1">
        <v>28437</v>
      </c>
      <c r="J109" s="2">
        <v>0.72340000000000004</v>
      </c>
      <c r="K109" s="2">
        <v>5.7999999999999996E-3</v>
      </c>
      <c r="L109" s="2">
        <v>3.4099999999999998E-2</v>
      </c>
      <c r="M109" s="2">
        <v>4.2999999999999997E-2</v>
      </c>
      <c r="N109" s="2">
        <v>0.15629999999999999</v>
      </c>
      <c r="O109" s="2">
        <v>3.7400000000000003E-2</v>
      </c>
      <c r="P109" s="2">
        <v>0.38950000000000001</v>
      </c>
      <c r="Q109" s="2">
        <v>1.61E-2</v>
      </c>
      <c r="R109">
        <v>4.3499999999999996</v>
      </c>
      <c r="S109" s="1">
        <v>340069</v>
      </c>
      <c r="T109" s="2">
        <v>0.13220000000000001</v>
      </c>
      <c r="U109" s="3">
        <v>15.56</v>
      </c>
      <c r="V109" s="1">
        <v>77991</v>
      </c>
      <c r="W109" s="2">
        <v>2.4199999999999999E-2</v>
      </c>
      <c r="X109" s="3">
        <v>19.46</v>
      </c>
      <c r="Y109" s="1">
        <v>31621</v>
      </c>
      <c r="Z109" s="2">
        <v>2.2200000000000001E-2</v>
      </c>
      <c r="AA109" s="3">
        <v>8.61</v>
      </c>
      <c r="AB109" s="1">
        <v>63884</v>
      </c>
      <c r="AC109" s="2">
        <v>1.72E-2</v>
      </c>
      <c r="AD109" s="3">
        <v>22.5</v>
      </c>
      <c r="AE109" s="1">
        <v>139228</v>
      </c>
      <c r="AF109" s="2">
        <v>6.2700000000000006E-2</v>
      </c>
      <c r="AG109" s="3">
        <v>13.43</v>
      </c>
    </row>
    <row r="110" spans="1:33" x14ac:dyDescent="0.75">
      <c r="A110" t="s">
        <v>146</v>
      </c>
      <c r="B110" s="1">
        <v>37060</v>
      </c>
      <c r="C110" s="2">
        <v>0.96279999999999999</v>
      </c>
      <c r="D110" s="2">
        <v>0</v>
      </c>
      <c r="E110" s="2">
        <v>3.7199999999999997E-2</v>
      </c>
      <c r="F110" s="1">
        <v>36018</v>
      </c>
      <c r="G110" s="1">
        <v>1042</v>
      </c>
      <c r="H110" s="1">
        <v>21004</v>
      </c>
      <c r="I110" s="1">
        <v>16056</v>
      </c>
      <c r="J110" s="2">
        <v>0.79310000000000003</v>
      </c>
      <c r="K110" s="2">
        <v>1E-4</v>
      </c>
      <c r="L110" s="2">
        <v>2.3E-3</v>
      </c>
      <c r="M110" s="2">
        <v>3.3399999999999999E-2</v>
      </c>
      <c r="N110" s="2">
        <v>0.1439</v>
      </c>
      <c r="O110" s="2">
        <v>2.7099999999999999E-2</v>
      </c>
      <c r="P110" s="2">
        <v>0.5655</v>
      </c>
      <c r="Q110" s="2">
        <v>8.1600000000000006E-2</v>
      </c>
      <c r="R110">
        <v>4.09</v>
      </c>
      <c r="S110" s="1">
        <v>580257</v>
      </c>
      <c r="T110" s="2">
        <v>0.1057</v>
      </c>
      <c r="U110" s="3">
        <v>36.21</v>
      </c>
      <c r="V110" s="1">
        <v>149696</v>
      </c>
      <c r="W110" s="2">
        <v>5.1499999999999997E-2</v>
      </c>
      <c r="X110" s="3">
        <v>19.2</v>
      </c>
      <c r="Y110" s="1">
        <v>54395</v>
      </c>
      <c r="Z110" s="2">
        <v>3.9899999999999998E-2</v>
      </c>
      <c r="AA110" s="3">
        <v>9</v>
      </c>
      <c r="AB110" s="1">
        <v>54439</v>
      </c>
      <c r="AC110" s="2">
        <v>2.64E-2</v>
      </c>
      <c r="AD110" s="3">
        <v>13.59</v>
      </c>
      <c r="AE110" s="1">
        <v>58723</v>
      </c>
      <c r="AF110" s="2">
        <v>3.2599999999999997E-2</v>
      </c>
      <c r="AG110" s="3">
        <v>11.87</v>
      </c>
    </row>
    <row r="111" spans="1:33" x14ac:dyDescent="0.75">
      <c r="A111" t="s">
        <v>147</v>
      </c>
      <c r="B111" s="1">
        <v>36801</v>
      </c>
      <c r="C111" s="2">
        <v>0.48559999999999998</v>
      </c>
      <c r="D111" s="2">
        <v>0.51439999999999997</v>
      </c>
      <c r="E111" s="2">
        <v>0</v>
      </c>
      <c r="F111" s="1">
        <v>36442</v>
      </c>
      <c r="G111">
        <v>359</v>
      </c>
      <c r="H111" s="1">
        <v>8802</v>
      </c>
      <c r="I111" s="1">
        <v>27999</v>
      </c>
      <c r="J111" s="2">
        <v>0.68200000000000005</v>
      </c>
      <c r="K111" s="2">
        <v>2.0799999999999999E-2</v>
      </c>
      <c r="L111" s="2">
        <v>3.2099999999999997E-2</v>
      </c>
      <c r="M111" s="2">
        <v>3.9399999999999998E-2</v>
      </c>
      <c r="N111" s="2">
        <v>0.1855</v>
      </c>
      <c r="O111" s="2">
        <v>4.02E-2</v>
      </c>
      <c r="P111" s="2">
        <v>0.3453</v>
      </c>
      <c r="Q111" s="2">
        <v>1.61E-2</v>
      </c>
      <c r="R111">
        <v>4.63</v>
      </c>
      <c r="S111" s="1">
        <v>362536</v>
      </c>
      <c r="T111" s="2">
        <v>5.8900000000000001E-2</v>
      </c>
      <c r="U111" s="3">
        <v>36.14</v>
      </c>
      <c r="V111" s="1">
        <v>77868</v>
      </c>
      <c r="W111" s="2">
        <v>2.3900000000000001E-2</v>
      </c>
      <c r="X111" s="3">
        <v>19.12</v>
      </c>
      <c r="Y111" s="1">
        <v>22252</v>
      </c>
      <c r="Z111" s="2">
        <v>1.7600000000000001E-2</v>
      </c>
      <c r="AA111" s="3">
        <v>7.41</v>
      </c>
      <c r="AB111" s="1">
        <v>17667</v>
      </c>
      <c r="AC111" s="2">
        <v>4.0000000000000001E-3</v>
      </c>
      <c r="AD111" s="3">
        <v>25.62</v>
      </c>
      <c r="AE111" s="1">
        <v>130346</v>
      </c>
      <c r="AF111" s="2">
        <v>5.5E-2</v>
      </c>
      <c r="AG111" s="3">
        <v>13.91</v>
      </c>
    </row>
    <row r="112" spans="1:33" x14ac:dyDescent="0.75">
      <c r="A112" t="s">
        <v>148</v>
      </c>
      <c r="B112" s="1">
        <v>36107</v>
      </c>
      <c r="C112" s="2">
        <v>0.59389999999999998</v>
      </c>
      <c r="D112" s="2">
        <v>0.38129999999999997</v>
      </c>
      <c r="E112" s="2">
        <v>2.4799999999999999E-2</v>
      </c>
      <c r="F112" s="1">
        <v>35563</v>
      </c>
      <c r="G112">
        <v>544</v>
      </c>
      <c r="H112" s="1">
        <v>15356</v>
      </c>
      <c r="I112" s="1">
        <v>20751</v>
      </c>
      <c r="J112" s="2">
        <v>0.74960000000000004</v>
      </c>
      <c r="K112" s="2">
        <v>1.6400000000000001E-2</v>
      </c>
      <c r="L112" s="2">
        <v>2.4400000000000002E-2</v>
      </c>
      <c r="M112" s="2">
        <v>5.5800000000000002E-2</v>
      </c>
      <c r="N112" s="2">
        <v>0.12709999999999999</v>
      </c>
      <c r="O112" s="2">
        <v>2.6800000000000001E-2</v>
      </c>
      <c r="P112" s="2">
        <v>0.42909999999999998</v>
      </c>
      <c r="Q112" s="2">
        <v>5.9299999999999999E-2</v>
      </c>
      <c r="R112">
        <v>3.74</v>
      </c>
      <c r="S112" s="1">
        <v>344392</v>
      </c>
      <c r="T112" s="2">
        <v>7.1300000000000002E-2</v>
      </c>
      <c r="U112" s="3">
        <v>35.79</v>
      </c>
      <c r="V112" s="1">
        <v>70067</v>
      </c>
      <c r="W112" s="2">
        <v>2.6499999999999999E-2</v>
      </c>
      <c r="X112" s="3">
        <v>19.61</v>
      </c>
      <c r="Y112" s="1">
        <v>15209</v>
      </c>
      <c r="Z112" s="2">
        <v>1.23E-2</v>
      </c>
      <c r="AA112" s="3">
        <v>9.17</v>
      </c>
      <c r="AB112">
        <v>0</v>
      </c>
      <c r="AE112" s="1">
        <v>60225</v>
      </c>
      <c r="AF112" s="2">
        <v>3.5299999999999998E-2</v>
      </c>
      <c r="AG112" s="3">
        <v>12.64</v>
      </c>
    </row>
    <row r="113" spans="1:33" x14ac:dyDescent="0.75">
      <c r="A113" t="s">
        <v>149</v>
      </c>
      <c r="B113" s="1">
        <v>35012</v>
      </c>
      <c r="C113" s="2">
        <v>0.52859999999999996</v>
      </c>
      <c r="D113" s="2">
        <v>0.47139999999999999</v>
      </c>
      <c r="E113" s="2">
        <v>0</v>
      </c>
      <c r="F113" s="1">
        <v>34613</v>
      </c>
      <c r="G113">
        <v>399</v>
      </c>
      <c r="H113" s="1">
        <v>8871</v>
      </c>
      <c r="I113" s="1">
        <v>26141</v>
      </c>
      <c r="J113" s="2">
        <v>0.77510000000000001</v>
      </c>
      <c r="K113" s="2">
        <v>5.0000000000000001E-4</v>
      </c>
      <c r="L113" s="2">
        <v>1.6999999999999999E-3</v>
      </c>
      <c r="M113" s="2">
        <v>4.02E-2</v>
      </c>
      <c r="N113" s="2">
        <v>0.1449</v>
      </c>
      <c r="O113" s="2">
        <v>3.7600000000000001E-2</v>
      </c>
      <c r="P113" s="2">
        <v>0.33019999999999999</v>
      </c>
      <c r="Q113" s="2">
        <v>4.2999999999999997E-2</v>
      </c>
      <c r="R113">
        <v>4.01</v>
      </c>
      <c r="S113" s="1">
        <v>373062</v>
      </c>
      <c r="T113" s="2">
        <v>7.2499999999999995E-2</v>
      </c>
      <c r="U113" s="3">
        <v>36.64</v>
      </c>
      <c r="V113" s="1">
        <v>84981</v>
      </c>
      <c r="W113" s="2">
        <v>2.8299999999999999E-2</v>
      </c>
      <c r="X113" s="3">
        <v>21.34</v>
      </c>
      <c r="Y113" s="1">
        <v>34624</v>
      </c>
      <c r="Z113" s="2">
        <v>2.7199999999999998E-2</v>
      </c>
      <c r="AA113" s="3">
        <v>9.07</v>
      </c>
      <c r="AB113" s="1">
        <v>15315</v>
      </c>
      <c r="AC113" s="2">
        <v>8.6E-3</v>
      </c>
      <c r="AD113" s="3">
        <v>12.64</v>
      </c>
      <c r="AE113" s="1">
        <v>81625</v>
      </c>
      <c r="AF113" s="2">
        <v>4.7199999999999999E-2</v>
      </c>
      <c r="AG113" s="3">
        <v>12.29</v>
      </c>
    </row>
    <row r="114" spans="1:33" x14ac:dyDescent="0.75">
      <c r="A114" t="s">
        <v>150</v>
      </c>
      <c r="B114" s="1">
        <v>34967</v>
      </c>
      <c r="C114" s="2">
        <v>0.69910000000000005</v>
      </c>
      <c r="D114" s="2">
        <v>0.3009</v>
      </c>
      <c r="E114" s="2">
        <v>0</v>
      </c>
      <c r="F114" s="1">
        <v>32965</v>
      </c>
      <c r="G114" s="1">
        <v>2002</v>
      </c>
      <c r="H114" s="1">
        <v>9604</v>
      </c>
      <c r="I114" s="1">
        <v>25363</v>
      </c>
      <c r="J114" s="2">
        <v>0.58050000000000002</v>
      </c>
      <c r="K114" s="2">
        <v>0</v>
      </c>
      <c r="L114" s="2">
        <v>2.5899999999999999E-2</v>
      </c>
      <c r="M114" s="2">
        <v>3.4000000000000002E-2</v>
      </c>
      <c r="N114" s="2">
        <v>0.32369999999999999</v>
      </c>
      <c r="O114" s="2">
        <v>3.5900000000000001E-2</v>
      </c>
      <c r="P114" s="2">
        <v>0.36609999999999998</v>
      </c>
      <c r="Q114" s="2">
        <v>7.9600000000000004E-2</v>
      </c>
      <c r="R114">
        <v>5.29</v>
      </c>
      <c r="S114" s="1">
        <v>625061</v>
      </c>
      <c r="T114" s="2">
        <v>9.01E-2</v>
      </c>
      <c r="U114" s="3">
        <v>37.5</v>
      </c>
      <c r="V114" s="1">
        <v>139674</v>
      </c>
      <c r="W114" s="2">
        <v>0.04</v>
      </c>
      <c r="X114" s="3">
        <v>18.87</v>
      </c>
      <c r="Y114" s="1">
        <v>65375</v>
      </c>
      <c r="Z114" s="2">
        <v>4.2099999999999999E-2</v>
      </c>
      <c r="AA114" s="3">
        <v>8.39</v>
      </c>
      <c r="AB114">
        <v>0</v>
      </c>
      <c r="AE114" s="1">
        <v>223330</v>
      </c>
      <c r="AF114" s="2">
        <v>9.4100000000000003E-2</v>
      </c>
      <c r="AG114" s="3">
        <v>12.83</v>
      </c>
    </row>
    <row r="115" spans="1:33" x14ac:dyDescent="0.75">
      <c r="A115" t="s">
        <v>151</v>
      </c>
      <c r="B115" s="1">
        <v>34715</v>
      </c>
      <c r="C115" s="2">
        <v>0.4788</v>
      </c>
      <c r="D115" s="2">
        <v>0.5212</v>
      </c>
      <c r="E115" s="2">
        <v>0</v>
      </c>
      <c r="F115" s="1">
        <v>33877</v>
      </c>
      <c r="G115">
        <v>838</v>
      </c>
      <c r="H115" s="1">
        <v>7178</v>
      </c>
      <c r="I115" s="1">
        <v>27537</v>
      </c>
      <c r="J115" s="2">
        <v>0.60050000000000003</v>
      </c>
      <c r="K115" s="2">
        <v>8.0000000000000004E-4</v>
      </c>
      <c r="L115" s="2">
        <v>2.7000000000000001E-3</v>
      </c>
      <c r="M115" s="2">
        <v>7.7100000000000002E-2</v>
      </c>
      <c r="N115" s="2">
        <v>0.24440000000000001</v>
      </c>
      <c r="O115" s="2">
        <v>7.4499999999999997E-2</v>
      </c>
      <c r="P115" s="2">
        <v>0.28489999999999999</v>
      </c>
      <c r="Q115" s="2">
        <v>9.7799999999999998E-2</v>
      </c>
      <c r="R115">
        <v>4.53</v>
      </c>
      <c r="S115" s="1">
        <v>549952</v>
      </c>
      <c r="T115" s="2">
        <v>8.5699999999999998E-2</v>
      </c>
      <c r="U115" s="3">
        <v>40.78</v>
      </c>
      <c r="V115" s="1">
        <v>85773</v>
      </c>
      <c r="W115" s="2">
        <v>2.8799999999999999E-2</v>
      </c>
      <c r="X115" s="3">
        <v>18.940000000000001</v>
      </c>
      <c r="Y115" s="1">
        <v>19925</v>
      </c>
      <c r="Z115" s="2">
        <v>1.38E-2</v>
      </c>
      <c r="AA115" s="3">
        <v>9.19</v>
      </c>
      <c r="AB115" s="1">
        <v>105449</v>
      </c>
      <c r="AC115" s="2">
        <v>4.0300000000000002E-2</v>
      </c>
      <c r="AD115" s="3">
        <v>16.64</v>
      </c>
      <c r="AE115" s="1">
        <v>300387</v>
      </c>
      <c r="AF115" s="2">
        <v>0.1573</v>
      </c>
      <c r="AG115" s="3">
        <v>12.14</v>
      </c>
    </row>
    <row r="116" spans="1:33" x14ac:dyDescent="0.75">
      <c r="A116" t="s">
        <v>152</v>
      </c>
      <c r="B116" s="1">
        <v>33742</v>
      </c>
      <c r="C116" s="2">
        <v>0.4864</v>
      </c>
      <c r="D116" s="2">
        <v>0.51359999999999995</v>
      </c>
      <c r="E116" s="2">
        <v>0</v>
      </c>
      <c r="F116" s="1">
        <v>32964</v>
      </c>
      <c r="G116">
        <v>778</v>
      </c>
      <c r="H116" s="1">
        <v>9707</v>
      </c>
      <c r="I116" s="1">
        <v>24035</v>
      </c>
      <c r="J116" s="2">
        <v>0.63959999999999995</v>
      </c>
      <c r="K116" s="2">
        <v>6.4100000000000004E-2</v>
      </c>
      <c r="L116" s="2">
        <v>1.5900000000000001E-2</v>
      </c>
      <c r="M116" s="2">
        <v>6.2799999999999995E-2</v>
      </c>
      <c r="N116" s="2">
        <v>0.15379999999999999</v>
      </c>
      <c r="O116" s="2">
        <v>6.3799999999999996E-2</v>
      </c>
      <c r="P116" s="2">
        <v>0.37159999999999999</v>
      </c>
      <c r="Q116" s="2">
        <v>5.28E-2</v>
      </c>
      <c r="R116">
        <v>4.21</v>
      </c>
      <c r="S116" s="1">
        <v>502173</v>
      </c>
      <c r="T116" s="2">
        <v>9.5200000000000007E-2</v>
      </c>
      <c r="U116" s="3">
        <v>37.130000000000003</v>
      </c>
      <c r="V116" s="1">
        <v>114023</v>
      </c>
      <c r="W116" s="2">
        <v>4.2700000000000002E-2</v>
      </c>
      <c r="X116" s="3">
        <v>18.809999999999999</v>
      </c>
      <c r="Y116" s="1">
        <v>31933</v>
      </c>
      <c r="Z116" s="2">
        <v>2.5100000000000001E-2</v>
      </c>
      <c r="AA116" s="3">
        <v>8.9700000000000006</v>
      </c>
      <c r="AB116" s="1">
        <v>58572</v>
      </c>
      <c r="AC116" s="2">
        <v>3.0200000000000001E-2</v>
      </c>
      <c r="AD116" s="3">
        <v>13.64</v>
      </c>
      <c r="AE116" s="1">
        <v>106150</v>
      </c>
      <c r="AF116" s="2">
        <v>7.2800000000000004E-2</v>
      </c>
      <c r="AG116" s="3">
        <v>10.26</v>
      </c>
    </row>
    <row r="117" spans="1:33" x14ac:dyDescent="0.75">
      <c r="A117" t="s">
        <v>153</v>
      </c>
      <c r="B117" s="1">
        <v>33403</v>
      </c>
      <c r="C117" s="2">
        <v>0.50870000000000004</v>
      </c>
      <c r="D117" s="2">
        <v>0.49130000000000001</v>
      </c>
      <c r="E117" s="2">
        <v>0</v>
      </c>
      <c r="F117" s="1">
        <v>33240</v>
      </c>
      <c r="G117">
        <v>163</v>
      </c>
      <c r="H117" s="1">
        <v>11658</v>
      </c>
      <c r="I117" s="1">
        <v>21745</v>
      </c>
      <c r="J117" s="2">
        <v>0.7238</v>
      </c>
      <c r="K117" s="2">
        <v>1.0800000000000001E-2</v>
      </c>
      <c r="L117" s="2">
        <v>2.5100000000000001E-2</v>
      </c>
      <c r="M117" s="2">
        <v>4.2999999999999997E-2</v>
      </c>
      <c r="N117" s="2">
        <v>0.15890000000000001</v>
      </c>
      <c r="O117" s="2">
        <v>3.8300000000000001E-2</v>
      </c>
      <c r="P117" s="2">
        <v>0.41299999999999998</v>
      </c>
      <c r="Q117" s="2">
        <v>2.2800000000000001E-2</v>
      </c>
      <c r="R117">
        <v>4.72</v>
      </c>
      <c r="S117" s="1">
        <v>405751</v>
      </c>
      <c r="T117" s="2">
        <v>8.1500000000000003E-2</v>
      </c>
      <c r="U117" s="3">
        <v>31.6</v>
      </c>
      <c r="V117" s="1">
        <v>104347</v>
      </c>
      <c r="W117" s="2">
        <v>3.7900000000000003E-2</v>
      </c>
      <c r="X117" s="3">
        <v>17.45</v>
      </c>
      <c r="Y117" s="1">
        <v>33797</v>
      </c>
      <c r="Z117" s="2">
        <v>2.4E-2</v>
      </c>
      <c r="AA117" s="3">
        <v>8.93</v>
      </c>
      <c r="AB117" s="1">
        <v>98017</v>
      </c>
      <c r="AC117" s="2">
        <v>5.2499999999999998E-2</v>
      </c>
      <c r="AD117" s="3">
        <v>11.85</v>
      </c>
      <c r="AE117" s="1">
        <v>148792</v>
      </c>
      <c r="AF117" s="2">
        <v>8.7400000000000005E-2</v>
      </c>
      <c r="AG117" s="3">
        <v>10.8</v>
      </c>
    </row>
    <row r="118" spans="1:33" x14ac:dyDescent="0.75">
      <c r="A118" t="s">
        <v>154</v>
      </c>
      <c r="B118" s="1">
        <v>32930</v>
      </c>
      <c r="C118" s="2">
        <v>0.66369999999999996</v>
      </c>
      <c r="D118" s="2">
        <v>0.33629999999999999</v>
      </c>
      <c r="E118" s="2">
        <v>0</v>
      </c>
      <c r="F118" s="1">
        <v>32645</v>
      </c>
      <c r="G118">
        <v>285</v>
      </c>
      <c r="H118" s="1">
        <v>18205</v>
      </c>
      <c r="I118" s="1">
        <v>14725</v>
      </c>
      <c r="J118" s="2">
        <v>0.75719999999999998</v>
      </c>
      <c r="K118" s="2">
        <v>1.04E-2</v>
      </c>
      <c r="L118" s="2">
        <v>1.89E-2</v>
      </c>
      <c r="M118" s="2">
        <v>2.18E-2</v>
      </c>
      <c r="N118" s="2">
        <v>0.15409999999999999</v>
      </c>
      <c r="O118" s="2">
        <v>3.7600000000000001E-2</v>
      </c>
      <c r="P118" s="2">
        <v>0.39179999999999998</v>
      </c>
      <c r="Q118" s="2">
        <v>3.6999999999999998E-2</v>
      </c>
      <c r="R118">
        <v>3.82</v>
      </c>
      <c r="S118" s="1">
        <v>435575</v>
      </c>
      <c r="T118" s="2">
        <v>8.6499999999999994E-2</v>
      </c>
      <c r="U118" s="3">
        <v>40.04</v>
      </c>
      <c r="V118" s="1">
        <v>57261</v>
      </c>
      <c r="W118" s="2">
        <v>2.35E-2</v>
      </c>
      <c r="X118" s="3">
        <v>19.41</v>
      </c>
      <c r="Y118" s="1">
        <v>20456</v>
      </c>
      <c r="Z118" s="2">
        <v>1.7500000000000002E-2</v>
      </c>
      <c r="AA118" s="3">
        <v>9.3000000000000007</v>
      </c>
      <c r="AB118" s="1">
        <v>28307</v>
      </c>
      <c r="AC118" s="2">
        <v>1.5599999999999999E-2</v>
      </c>
      <c r="AD118" s="3">
        <v>14.44</v>
      </c>
      <c r="AE118" s="1">
        <v>63870</v>
      </c>
      <c r="AF118" s="2">
        <v>3.7699999999999997E-2</v>
      </c>
      <c r="AG118" s="3">
        <v>13.47</v>
      </c>
    </row>
    <row r="119" spans="1:33" x14ac:dyDescent="0.75">
      <c r="A119" t="s">
        <v>155</v>
      </c>
      <c r="B119" s="1">
        <v>32323</v>
      </c>
      <c r="C119" s="2">
        <v>0.54349999999999998</v>
      </c>
      <c r="D119" s="2">
        <v>0.45650000000000002</v>
      </c>
      <c r="E119" s="2">
        <v>0</v>
      </c>
      <c r="F119" s="1">
        <v>31883</v>
      </c>
      <c r="G119">
        <v>440</v>
      </c>
      <c r="H119" s="1">
        <v>10295</v>
      </c>
      <c r="I119" s="1">
        <v>22028</v>
      </c>
      <c r="J119" s="2">
        <v>0.74550000000000005</v>
      </c>
      <c r="K119" s="2">
        <v>8.9999999999999998E-4</v>
      </c>
      <c r="L119" s="2">
        <v>2.8E-3</v>
      </c>
      <c r="M119" s="2">
        <v>5.0299999999999997E-2</v>
      </c>
      <c r="N119" s="2">
        <v>0.15440000000000001</v>
      </c>
      <c r="O119" s="2">
        <v>4.6199999999999998E-2</v>
      </c>
      <c r="P119" s="2">
        <v>0.37480000000000002</v>
      </c>
      <c r="Q119" s="2">
        <v>3.2899999999999999E-2</v>
      </c>
      <c r="R119">
        <v>4.0999999999999996</v>
      </c>
      <c r="S119" s="1">
        <v>321281</v>
      </c>
      <c r="T119" s="2">
        <v>7.1199999999999999E-2</v>
      </c>
      <c r="U119" s="3">
        <v>34.07</v>
      </c>
      <c r="V119" s="1">
        <v>72858</v>
      </c>
      <c r="W119" s="2">
        <v>2.6100000000000002E-2</v>
      </c>
      <c r="X119" s="3">
        <v>21.11</v>
      </c>
      <c r="Y119" s="1">
        <v>21621</v>
      </c>
      <c r="Z119" s="2">
        <v>1.8100000000000002E-2</v>
      </c>
      <c r="AA119" s="3">
        <v>9.0399999999999991</v>
      </c>
      <c r="AB119">
        <v>108</v>
      </c>
      <c r="AC119" s="2">
        <v>1E-4</v>
      </c>
      <c r="AD119" s="3">
        <v>11.73</v>
      </c>
      <c r="AE119" s="1">
        <v>66940</v>
      </c>
      <c r="AF119" s="2">
        <v>4.0399999999999998E-2</v>
      </c>
      <c r="AG119" s="3">
        <v>12.5</v>
      </c>
    </row>
    <row r="120" spans="1:33" x14ac:dyDescent="0.75">
      <c r="A120" t="s">
        <v>156</v>
      </c>
      <c r="B120" s="1">
        <v>31982</v>
      </c>
      <c r="C120" s="2">
        <v>0.47810000000000002</v>
      </c>
      <c r="D120" s="2">
        <v>0.52190000000000003</v>
      </c>
      <c r="E120" s="2">
        <v>0</v>
      </c>
      <c r="F120" s="1">
        <v>31852</v>
      </c>
      <c r="G120">
        <v>130</v>
      </c>
      <c r="H120" s="1">
        <v>5417</v>
      </c>
      <c r="I120" s="1">
        <v>26565</v>
      </c>
      <c r="J120" s="2">
        <v>0.74070000000000003</v>
      </c>
      <c r="K120" s="2">
        <v>2.9999999999999997E-4</v>
      </c>
      <c r="L120" s="2">
        <v>3.3599999999999998E-2</v>
      </c>
      <c r="M120" s="2">
        <v>2.5700000000000001E-2</v>
      </c>
      <c r="N120" s="2">
        <v>0.16520000000000001</v>
      </c>
      <c r="O120" s="2">
        <v>3.4500000000000003E-2</v>
      </c>
      <c r="P120" s="2">
        <v>0.28129999999999999</v>
      </c>
      <c r="Q120" s="2">
        <v>3.4700000000000002E-2</v>
      </c>
      <c r="R120">
        <v>4.4000000000000004</v>
      </c>
      <c r="S120" s="1">
        <v>494544</v>
      </c>
      <c r="T120" s="2">
        <v>0.22670000000000001</v>
      </c>
      <c r="U120" s="3">
        <v>15.52</v>
      </c>
      <c r="V120" s="1">
        <v>127696</v>
      </c>
      <c r="W120" s="2">
        <v>4.8000000000000001E-2</v>
      </c>
      <c r="X120" s="3">
        <v>18.940000000000001</v>
      </c>
      <c r="Y120" s="1">
        <v>47283</v>
      </c>
      <c r="Z120" s="2">
        <v>3.85E-2</v>
      </c>
      <c r="AA120" s="3">
        <v>8.73</v>
      </c>
      <c r="AB120" s="1">
        <v>46944</v>
      </c>
      <c r="AC120" s="2">
        <v>1.26E-2</v>
      </c>
      <c r="AD120" s="3">
        <v>26.55</v>
      </c>
      <c r="AE120" s="1">
        <v>42986</v>
      </c>
      <c r="AF120" s="2">
        <v>2.5600000000000001E-2</v>
      </c>
      <c r="AG120" s="3">
        <v>11.94</v>
      </c>
    </row>
    <row r="121" spans="1:33" x14ac:dyDescent="0.75">
      <c r="A121" t="s">
        <v>157</v>
      </c>
      <c r="B121" s="1">
        <v>31428</v>
      </c>
      <c r="C121" s="2">
        <v>0.4617</v>
      </c>
      <c r="D121" s="2">
        <v>0.5383</v>
      </c>
      <c r="E121" s="2">
        <v>0</v>
      </c>
      <c r="F121" s="1">
        <v>31216</v>
      </c>
      <c r="G121">
        <v>212</v>
      </c>
      <c r="H121" s="1">
        <v>7392</v>
      </c>
      <c r="I121" s="1">
        <v>24036</v>
      </c>
      <c r="J121" s="2">
        <v>0.7278</v>
      </c>
      <c r="K121" s="2">
        <v>4.0000000000000001E-3</v>
      </c>
      <c r="L121" s="2">
        <v>5.9999999999999995E-4</v>
      </c>
      <c r="M121" s="2">
        <v>5.2600000000000001E-2</v>
      </c>
      <c r="N121" s="2">
        <v>0.1643</v>
      </c>
      <c r="O121" s="2">
        <v>5.0700000000000002E-2</v>
      </c>
      <c r="P121" s="2">
        <v>0.33329999999999999</v>
      </c>
      <c r="Q121" s="2">
        <v>1.72E-2</v>
      </c>
      <c r="R121">
        <v>4.2699999999999996</v>
      </c>
      <c r="S121" s="1">
        <v>376446</v>
      </c>
      <c r="T121" s="2">
        <v>7.5499999999999998E-2</v>
      </c>
      <c r="U121" s="3">
        <v>37.119999999999997</v>
      </c>
      <c r="V121" s="1">
        <v>67176</v>
      </c>
      <c r="W121" s="2">
        <v>2.6599999999999999E-2</v>
      </c>
      <c r="X121" s="3">
        <v>18.77</v>
      </c>
      <c r="Y121" s="1">
        <v>24916</v>
      </c>
      <c r="Z121" s="2">
        <v>2.0299999999999999E-2</v>
      </c>
      <c r="AA121" s="3">
        <v>9.1199999999999992</v>
      </c>
      <c r="AB121">
        <v>0</v>
      </c>
      <c r="AE121" s="1">
        <v>139378</v>
      </c>
      <c r="AF121" s="2">
        <v>7.6399999999999996E-2</v>
      </c>
      <c r="AG121" s="3">
        <v>13.57</v>
      </c>
    </row>
    <row r="122" spans="1:33" x14ac:dyDescent="0.75">
      <c r="A122" t="s">
        <v>158</v>
      </c>
      <c r="B122" s="1">
        <v>31025</v>
      </c>
      <c r="C122" s="2">
        <v>0.46629999999999999</v>
      </c>
      <c r="D122" s="2">
        <v>0.53369999999999995</v>
      </c>
      <c r="E122" s="2">
        <v>0</v>
      </c>
      <c r="F122" s="1">
        <v>30713</v>
      </c>
      <c r="G122">
        <v>312</v>
      </c>
      <c r="H122" s="1">
        <v>6780</v>
      </c>
      <c r="I122" s="1">
        <v>24245</v>
      </c>
      <c r="J122" s="2">
        <v>0.66</v>
      </c>
      <c r="K122" s="2">
        <v>1.6899999999999998E-2</v>
      </c>
      <c r="L122" s="2">
        <v>1.23E-2</v>
      </c>
      <c r="M122" s="2">
        <v>4.0500000000000001E-2</v>
      </c>
      <c r="N122" s="2">
        <v>0.23269999999999999</v>
      </c>
      <c r="O122" s="2">
        <v>3.7699999999999997E-2</v>
      </c>
      <c r="P122" s="2">
        <v>0.35</v>
      </c>
      <c r="Q122" s="2">
        <v>3.44E-2</v>
      </c>
      <c r="R122">
        <v>5.0599999999999996</v>
      </c>
      <c r="S122" s="1">
        <v>348305</v>
      </c>
      <c r="T122" s="2">
        <v>6.1100000000000002E-2</v>
      </c>
      <c r="U122" s="3">
        <v>36.33</v>
      </c>
      <c r="V122" s="1">
        <v>41697</v>
      </c>
      <c r="W122" s="2">
        <v>1.4200000000000001E-2</v>
      </c>
      <c r="X122" s="3">
        <v>18.72</v>
      </c>
      <c r="Y122" s="1">
        <v>21617</v>
      </c>
      <c r="Z122" s="2">
        <v>1.6199999999999999E-2</v>
      </c>
      <c r="AA122" s="3">
        <v>8.49</v>
      </c>
      <c r="AB122" s="1">
        <v>2700</v>
      </c>
      <c r="AC122" s="2">
        <v>1.5E-3</v>
      </c>
      <c r="AD122" s="3">
        <v>11.53</v>
      </c>
      <c r="AE122" s="1">
        <v>94037</v>
      </c>
      <c r="AF122" s="2">
        <v>5.4199999999999998E-2</v>
      </c>
      <c r="AG122" s="3">
        <v>11.07</v>
      </c>
    </row>
    <row r="123" spans="1:33" x14ac:dyDescent="0.75">
      <c r="A123" t="s">
        <v>159</v>
      </c>
      <c r="B123" s="1">
        <v>31003</v>
      </c>
      <c r="C123" s="2">
        <v>0.4546</v>
      </c>
      <c r="D123" s="2">
        <v>0.5454</v>
      </c>
      <c r="E123" s="2">
        <v>0</v>
      </c>
      <c r="F123" s="1">
        <v>30648</v>
      </c>
      <c r="G123">
        <v>355</v>
      </c>
      <c r="H123" s="1">
        <v>6924</v>
      </c>
      <c r="I123" s="1">
        <v>24079</v>
      </c>
      <c r="J123" s="2">
        <v>0.70199999999999996</v>
      </c>
      <c r="K123" s="2">
        <v>4.0000000000000002E-4</v>
      </c>
      <c r="L123" s="2">
        <v>5.4999999999999997E-3</v>
      </c>
      <c r="M123" s="2">
        <v>5.7799999999999997E-2</v>
      </c>
      <c r="N123" s="2">
        <v>0.18890000000000001</v>
      </c>
      <c r="O123" s="2">
        <v>4.5499999999999999E-2</v>
      </c>
      <c r="P123" s="2">
        <v>0.3004</v>
      </c>
      <c r="Q123" s="2">
        <v>3.1800000000000002E-2</v>
      </c>
      <c r="R123">
        <v>5.39</v>
      </c>
      <c r="S123" s="1">
        <v>520647</v>
      </c>
      <c r="T123" s="2">
        <v>9.6500000000000002E-2</v>
      </c>
      <c r="U123" s="3">
        <v>32.32</v>
      </c>
      <c r="V123" s="1">
        <v>154304</v>
      </c>
      <c r="W123" s="2">
        <v>5.1999999999999998E-2</v>
      </c>
      <c r="X123" s="3">
        <v>17.760000000000002</v>
      </c>
      <c r="Y123" s="1">
        <v>58444</v>
      </c>
      <c r="Z123" s="2">
        <v>3.95E-2</v>
      </c>
      <c r="AA123" s="3">
        <v>8.86</v>
      </c>
      <c r="AB123" s="1">
        <v>66952</v>
      </c>
      <c r="AC123" s="2">
        <v>2.9899999999999999E-2</v>
      </c>
      <c r="AD123" s="3">
        <v>13.42</v>
      </c>
      <c r="AE123" s="1">
        <v>210185</v>
      </c>
      <c r="AF123" s="2">
        <v>0.11890000000000001</v>
      </c>
      <c r="AG123" s="3">
        <v>10.59</v>
      </c>
    </row>
    <row r="124" spans="1:33" x14ac:dyDescent="0.75">
      <c r="A124" t="s">
        <v>160</v>
      </c>
      <c r="B124" s="1">
        <v>28894</v>
      </c>
      <c r="C124" s="2">
        <v>0.442</v>
      </c>
      <c r="D124" s="2">
        <v>0.55800000000000005</v>
      </c>
      <c r="E124" s="2">
        <v>0</v>
      </c>
      <c r="F124" s="1">
        <v>28573</v>
      </c>
      <c r="G124">
        <v>321</v>
      </c>
      <c r="H124" s="1">
        <v>7715</v>
      </c>
      <c r="I124" s="1">
        <v>21179</v>
      </c>
      <c r="J124" s="2">
        <v>0.68200000000000005</v>
      </c>
      <c r="K124" s="2">
        <v>1.0999999999999999E-2</v>
      </c>
      <c r="L124" s="2">
        <v>3.3799999999999997E-2</v>
      </c>
      <c r="M124" s="2">
        <v>3.8600000000000002E-2</v>
      </c>
      <c r="N124" s="2">
        <v>0.1804</v>
      </c>
      <c r="O124" s="2">
        <v>5.4199999999999998E-2</v>
      </c>
      <c r="P124" s="2">
        <v>0.3624</v>
      </c>
      <c r="Q124" s="2">
        <v>1.2E-2</v>
      </c>
      <c r="R124">
        <v>5.03</v>
      </c>
      <c r="S124" s="1">
        <v>343358</v>
      </c>
      <c r="T124" s="2">
        <v>6.7500000000000004E-2</v>
      </c>
      <c r="U124" s="3">
        <v>35</v>
      </c>
      <c r="V124" s="1">
        <v>126612</v>
      </c>
      <c r="W124" s="2">
        <v>4.1399999999999999E-2</v>
      </c>
      <c r="X124" s="3">
        <v>21.07</v>
      </c>
      <c r="Y124" s="1">
        <v>25855</v>
      </c>
      <c r="Z124" s="2">
        <v>2.01E-2</v>
      </c>
      <c r="AA124" s="3">
        <v>8.8800000000000008</v>
      </c>
      <c r="AB124" s="1">
        <v>4784</v>
      </c>
      <c r="AC124" s="2">
        <v>2.8999999999999998E-3</v>
      </c>
      <c r="AD124" s="3">
        <v>11.17</v>
      </c>
      <c r="AE124" s="1">
        <v>125181</v>
      </c>
      <c r="AF124" s="2">
        <v>8.9399999999999993E-2</v>
      </c>
      <c r="AG124" s="3">
        <v>9.64</v>
      </c>
    </row>
    <row r="125" spans="1:33" x14ac:dyDescent="0.75">
      <c r="A125" t="s">
        <v>161</v>
      </c>
      <c r="B125" s="1">
        <v>27545</v>
      </c>
      <c r="C125" s="2">
        <v>0.57130000000000003</v>
      </c>
      <c r="D125" s="2">
        <v>0.42870000000000003</v>
      </c>
      <c r="E125" s="2">
        <v>0</v>
      </c>
      <c r="F125" s="1">
        <v>27233</v>
      </c>
      <c r="G125">
        <v>312</v>
      </c>
      <c r="H125" s="1">
        <v>9396</v>
      </c>
      <c r="I125" s="1">
        <v>18149</v>
      </c>
      <c r="J125" s="2">
        <v>0.70820000000000005</v>
      </c>
      <c r="K125" s="2">
        <v>0</v>
      </c>
      <c r="L125" s="2">
        <v>6.9999999999999999E-4</v>
      </c>
      <c r="M125" s="2">
        <v>4.7100000000000003E-2</v>
      </c>
      <c r="N125" s="2">
        <v>0.20200000000000001</v>
      </c>
      <c r="O125" s="2">
        <v>4.2000000000000003E-2</v>
      </c>
      <c r="P125" s="2">
        <v>0.39979999999999999</v>
      </c>
      <c r="Q125" s="2">
        <v>1.0500000000000001E-2</v>
      </c>
      <c r="R125">
        <v>4.17</v>
      </c>
      <c r="S125" s="1">
        <v>312621</v>
      </c>
      <c r="T125" s="2">
        <v>7.0000000000000007E-2</v>
      </c>
      <c r="U125" s="3">
        <v>38.89</v>
      </c>
      <c r="V125" s="1">
        <v>47708</v>
      </c>
      <c r="W125" s="2">
        <v>2.2499999999999999E-2</v>
      </c>
      <c r="X125" s="3">
        <v>18.46</v>
      </c>
      <c r="Y125" s="1">
        <v>22767</v>
      </c>
      <c r="Z125" s="2">
        <v>2.1899999999999999E-2</v>
      </c>
      <c r="AA125" s="3">
        <v>9.0399999999999991</v>
      </c>
      <c r="AB125" s="1">
        <v>22467</v>
      </c>
      <c r="AC125" s="2">
        <v>1.5599999999999999E-2</v>
      </c>
      <c r="AD125" s="3">
        <v>12.51</v>
      </c>
      <c r="AE125" s="1">
        <v>47734</v>
      </c>
      <c r="AF125" s="2">
        <v>3.27E-2</v>
      </c>
      <c r="AG125" s="3">
        <v>12.7</v>
      </c>
    </row>
    <row r="126" spans="1:33" x14ac:dyDescent="0.75">
      <c r="A126" t="s">
        <v>162</v>
      </c>
      <c r="B126" s="1">
        <v>27204</v>
      </c>
      <c r="C126" s="2">
        <v>0.48110000000000003</v>
      </c>
      <c r="D126" s="2">
        <v>0.51890000000000003</v>
      </c>
      <c r="E126" s="2">
        <v>0</v>
      </c>
      <c r="F126" s="1">
        <v>26570</v>
      </c>
      <c r="G126">
        <v>634</v>
      </c>
      <c r="H126" s="1">
        <v>6198</v>
      </c>
      <c r="I126" s="1">
        <v>21006</v>
      </c>
      <c r="J126" s="2">
        <v>0.74990000000000001</v>
      </c>
      <c r="K126" s="2">
        <v>1.7100000000000001E-2</v>
      </c>
      <c r="L126" s="2">
        <v>1.3299999999999999E-2</v>
      </c>
      <c r="M126" s="2">
        <v>4.07E-2</v>
      </c>
      <c r="N126" s="2">
        <v>0.15440000000000001</v>
      </c>
      <c r="O126" s="2">
        <v>2.47E-2</v>
      </c>
      <c r="P126" s="2">
        <v>0.33629999999999999</v>
      </c>
      <c r="Q126" s="2">
        <v>6.6199999999999995E-2</v>
      </c>
      <c r="R126">
        <v>4.42</v>
      </c>
      <c r="S126" s="1">
        <v>379068</v>
      </c>
      <c r="T126" s="2">
        <v>0.1104</v>
      </c>
      <c r="U126" s="3">
        <v>28.54</v>
      </c>
      <c r="V126" s="1">
        <v>104949</v>
      </c>
      <c r="W126" s="2">
        <v>5.3499999999999999E-2</v>
      </c>
      <c r="X126" s="3">
        <v>16.3</v>
      </c>
      <c r="Y126" s="1">
        <v>29633</v>
      </c>
      <c r="Z126" s="2">
        <v>2.7400000000000001E-2</v>
      </c>
      <c r="AA126" s="3">
        <v>8.99</v>
      </c>
      <c r="AB126" s="1">
        <v>5693</v>
      </c>
      <c r="AC126" s="2">
        <v>3.8999999999999998E-3</v>
      </c>
      <c r="AD126" s="3">
        <v>12.21</v>
      </c>
      <c r="AE126" s="1">
        <v>44636</v>
      </c>
      <c r="AF126" s="2">
        <v>2.3099999999999999E-2</v>
      </c>
      <c r="AG126" s="3">
        <v>16.09</v>
      </c>
    </row>
    <row r="127" spans="1:33" x14ac:dyDescent="0.75">
      <c r="A127" t="s">
        <v>163</v>
      </c>
      <c r="B127" s="1">
        <v>26883</v>
      </c>
      <c r="C127" s="2">
        <v>0.62980000000000003</v>
      </c>
      <c r="D127" s="2">
        <v>0.37019999999999997</v>
      </c>
      <c r="E127" s="2">
        <v>0</v>
      </c>
      <c r="F127" s="1">
        <v>26283</v>
      </c>
      <c r="G127">
        <v>600</v>
      </c>
      <c r="H127" s="1">
        <v>12572</v>
      </c>
      <c r="I127" s="1">
        <v>14311</v>
      </c>
      <c r="J127" s="2">
        <v>0.71289999999999998</v>
      </c>
      <c r="K127" s="2">
        <v>2.1999999999999999E-2</v>
      </c>
      <c r="L127" s="2">
        <v>2.6200000000000001E-2</v>
      </c>
      <c r="M127" s="2">
        <v>5.8599999999999999E-2</v>
      </c>
      <c r="N127" s="2">
        <v>0.15049999999999999</v>
      </c>
      <c r="O127" s="2">
        <v>2.9899999999999999E-2</v>
      </c>
      <c r="P127" s="2">
        <v>0.44779999999999998</v>
      </c>
      <c r="Q127" s="2">
        <v>2.86E-2</v>
      </c>
      <c r="R127">
        <v>4.12</v>
      </c>
      <c r="S127" s="1">
        <v>314581</v>
      </c>
      <c r="T127" s="2">
        <v>7.3899999999999993E-2</v>
      </c>
      <c r="U127" s="3">
        <v>38.369999999999997</v>
      </c>
      <c r="V127" s="1">
        <v>82729</v>
      </c>
      <c r="W127" s="2">
        <v>3.6400000000000002E-2</v>
      </c>
      <c r="X127" s="3">
        <v>20.51</v>
      </c>
      <c r="Y127" s="1">
        <v>16391</v>
      </c>
      <c r="Z127" s="2">
        <v>1.6E-2</v>
      </c>
      <c r="AA127" s="3">
        <v>9.25</v>
      </c>
      <c r="AB127" s="1">
        <v>4528</v>
      </c>
      <c r="AC127" s="2">
        <v>3.7000000000000002E-3</v>
      </c>
      <c r="AD127" s="3">
        <v>11.17</v>
      </c>
      <c r="AE127" s="1">
        <v>107004</v>
      </c>
      <c r="AF127" s="2">
        <v>6.7400000000000002E-2</v>
      </c>
      <c r="AG127" s="3">
        <v>14.32</v>
      </c>
    </row>
    <row r="128" spans="1:33" x14ac:dyDescent="0.75">
      <c r="A128" t="s">
        <v>164</v>
      </c>
      <c r="B128" s="1">
        <v>26332</v>
      </c>
      <c r="C128" s="2">
        <v>0.96</v>
      </c>
      <c r="D128" s="2">
        <v>5.8999999999999999E-3</v>
      </c>
      <c r="E128" s="2">
        <v>3.4099999999999998E-2</v>
      </c>
      <c r="F128" s="1">
        <v>25864</v>
      </c>
      <c r="G128">
        <v>468</v>
      </c>
      <c r="H128" s="1">
        <v>7679</v>
      </c>
      <c r="I128" s="1">
        <v>18653</v>
      </c>
      <c r="J128" s="2">
        <v>0.61819999999999997</v>
      </c>
      <c r="K128" s="2">
        <v>2.9999999999999997E-4</v>
      </c>
      <c r="L128" s="2">
        <v>3.2099999999999997E-2</v>
      </c>
      <c r="M128" s="2">
        <v>5.4199999999999998E-2</v>
      </c>
      <c r="N128" s="2">
        <v>0.25690000000000002</v>
      </c>
      <c r="O128" s="2">
        <v>3.8300000000000001E-2</v>
      </c>
      <c r="P128" s="2">
        <v>0.33310000000000001</v>
      </c>
      <c r="Q128" s="2">
        <v>2.81E-2</v>
      </c>
      <c r="R128">
        <v>4.9000000000000004</v>
      </c>
      <c r="S128" s="1">
        <v>510462</v>
      </c>
      <c r="T128" s="2">
        <v>0.1157</v>
      </c>
      <c r="U128" s="3">
        <v>34.21</v>
      </c>
      <c r="V128" s="1">
        <v>104841</v>
      </c>
      <c r="W128" s="2">
        <v>5.33E-2</v>
      </c>
      <c r="X128" s="3">
        <v>15.25</v>
      </c>
      <c r="Y128" s="1">
        <v>47543</v>
      </c>
      <c r="Z128" s="2">
        <v>4.2700000000000002E-2</v>
      </c>
      <c r="AA128" s="3">
        <v>8.64</v>
      </c>
      <c r="AB128">
        <v>0</v>
      </c>
      <c r="AE128" s="1">
        <v>69362</v>
      </c>
      <c r="AF128" s="2">
        <v>4.6100000000000002E-2</v>
      </c>
      <c r="AG128" s="3">
        <v>11.67</v>
      </c>
    </row>
    <row r="129" spans="1:33" x14ac:dyDescent="0.75">
      <c r="A129" t="s">
        <v>165</v>
      </c>
      <c r="B129" s="1">
        <v>25251</v>
      </c>
      <c r="C129" s="2">
        <v>0.54249999999999998</v>
      </c>
      <c r="D129" s="2">
        <v>0.45750000000000002</v>
      </c>
      <c r="E129" s="2">
        <v>0</v>
      </c>
      <c r="F129" s="1">
        <v>24846</v>
      </c>
      <c r="G129">
        <v>405</v>
      </c>
      <c r="H129" s="1">
        <v>9404</v>
      </c>
      <c r="I129" s="1">
        <v>15847</v>
      </c>
      <c r="J129" s="2">
        <v>0.75029999999999997</v>
      </c>
      <c r="K129" s="2">
        <v>2E-3</v>
      </c>
      <c r="L129" s="2">
        <v>1.78E-2</v>
      </c>
      <c r="M129" s="2">
        <v>4.5499999999999999E-2</v>
      </c>
      <c r="N129" s="2">
        <v>0.1502</v>
      </c>
      <c r="O129" s="2">
        <v>3.4099999999999998E-2</v>
      </c>
      <c r="P129" s="2">
        <v>0.39810000000000001</v>
      </c>
      <c r="Q129" s="2">
        <v>3.2899999999999999E-2</v>
      </c>
      <c r="R129">
        <v>4.08</v>
      </c>
      <c r="S129" s="1">
        <v>331287</v>
      </c>
      <c r="T129" s="2">
        <v>8.3799999999999999E-2</v>
      </c>
      <c r="U129" s="3">
        <v>38.39</v>
      </c>
      <c r="V129" s="1">
        <v>44120</v>
      </c>
      <c r="W129" s="2">
        <v>2.3099999999999999E-2</v>
      </c>
      <c r="X129" s="3">
        <v>18.53</v>
      </c>
      <c r="Y129" s="1">
        <v>21812</v>
      </c>
      <c r="Z129" s="2">
        <v>2.3699999999999999E-2</v>
      </c>
      <c r="AA129" s="3">
        <v>8.9499999999999993</v>
      </c>
      <c r="AB129" s="1">
        <v>11643</v>
      </c>
      <c r="AC129" s="2">
        <v>9.4000000000000004E-3</v>
      </c>
      <c r="AD129" s="3">
        <v>12.04</v>
      </c>
      <c r="AE129" s="1">
        <v>86657</v>
      </c>
      <c r="AF129" s="2">
        <v>6.25E-2</v>
      </c>
      <c r="AG129" s="3">
        <v>13.47</v>
      </c>
    </row>
    <row r="130" spans="1:33" x14ac:dyDescent="0.75">
      <c r="A130" t="s">
        <v>166</v>
      </c>
      <c r="B130" s="1">
        <v>25212</v>
      </c>
      <c r="C130" s="2">
        <v>0.6522</v>
      </c>
      <c r="D130" s="2">
        <v>0.3478</v>
      </c>
      <c r="E130" s="2">
        <v>0</v>
      </c>
      <c r="F130" s="1">
        <v>25053</v>
      </c>
      <c r="G130">
        <v>159</v>
      </c>
      <c r="H130" s="1">
        <v>11634</v>
      </c>
      <c r="I130" s="1">
        <v>13578</v>
      </c>
      <c r="J130" s="2">
        <v>0.72109999999999996</v>
      </c>
      <c r="K130" s="2">
        <v>1.2800000000000001E-2</v>
      </c>
      <c r="L130" s="2">
        <v>1.18E-2</v>
      </c>
      <c r="M130" s="2">
        <v>3.5499999999999997E-2</v>
      </c>
      <c r="N130" s="2">
        <v>0.16439999999999999</v>
      </c>
      <c r="O130" s="2">
        <v>5.45E-2</v>
      </c>
      <c r="P130" s="2">
        <v>0.3281</v>
      </c>
      <c r="Q130" s="2">
        <v>3.7400000000000003E-2</v>
      </c>
      <c r="R130">
        <v>3.99</v>
      </c>
      <c r="S130" s="1">
        <v>278540</v>
      </c>
      <c r="T130" s="2">
        <v>8.3199999999999996E-2</v>
      </c>
      <c r="U130" s="3">
        <v>33.31</v>
      </c>
      <c r="V130" s="1">
        <v>63505</v>
      </c>
      <c r="W130" s="2">
        <v>3.3500000000000002E-2</v>
      </c>
      <c r="X130" s="3">
        <v>18.850000000000001</v>
      </c>
      <c r="Y130" s="1">
        <v>9769</v>
      </c>
      <c r="Z130" s="2">
        <v>1.11E-2</v>
      </c>
      <c r="AA130" s="3">
        <v>8.7799999999999994</v>
      </c>
      <c r="AB130" s="1">
        <v>33529</v>
      </c>
      <c r="AC130" s="2">
        <v>2.1700000000000001E-2</v>
      </c>
      <c r="AD130" s="3">
        <v>15.34</v>
      </c>
      <c r="AE130" s="1">
        <v>21297</v>
      </c>
      <c r="AF130" s="2">
        <v>1.38E-2</v>
      </c>
      <c r="AG130" s="3">
        <v>15.4</v>
      </c>
    </row>
    <row r="131" spans="1:33" x14ac:dyDescent="0.75">
      <c r="A131" t="s">
        <v>167</v>
      </c>
      <c r="B131" s="1">
        <v>25067</v>
      </c>
      <c r="C131" s="2">
        <v>0.6552</v>
      </c>
      <c r="D131" s="2">
        <v>0.3448</v>
      </c>
      <c r="E131" s="2">
        <v>0</v>
      </c>
      <c r="F131" s="1">
        <v>24758</v>
      </c>
      <c r="G131">
        <v>309</v>
      </c>
      <c r="H131" s="1">
        <v>10727</v>
      </c>
      <c r="I131" s="1">
        <v>14340</v>
      </c>
      <c r="J131" s="2">
        <v>0.74980000000000002</v>
      </c>
      <c r="K131" s="2">
        <v>1.84E-2</v>
      </c>
      <c r="L131" s="2">
        <v>2.4199999999999999E-2</v>
      </c>
      <c r="M131" s="2">
        <v>5.6300000000000003E-2</v>
      </c>
      <c r="N131" s="2">
        <v>0.1275</v>
      </c>
      <c r="O131" s="2">
        <v>2.3900000000000001E-2</v>
      </c>
      <c r="P131" s="2">
        <v>0.41889999999999999</v>
      </c>
      <c r="Q131" s="2">
        <v>3.56E-2</v>
      </c>
      <c r="R131">
        <v>3.69</v>
      </c>
      <c r="S131" s="1">
        <v>247404</v>
      </c>
      <c r="T131" s="2">
        <v>7.1599999999999997E-2</v>
      </c>
      <c r="U131" s="3">
        <v>37.32</v>
      </c>
      <c r="V131" s="1">
        <v>48943</v>
      </c>
      <c r="W131" s="2">
        <v>2.5399999999999999E-2</v>
      </c>
      <c r="X131" s="3">
        <v>20.83</v>
      </c>
      <c r="Y131" s="1">
        <v>16021</v>
      </c>
      <c r="Z131" s="2">
        <v>1.9E-2</v>
      </c>
      <c r="AA131" s="3">
        <v>9.08</v>
      </c>
      <c r="AB131">
        <v>594</v>
      </c>
      <c r="AC131" s="2">
        <v>6.9999999999999999E-4</v>
      </c>
      <c r="AD131" s="3">
        <v>9.3800000000000008</v>
      </c>
      <c r="AE131" s="1">
        <v>33460</v>
      </c>
      <c r="AF131" s="2">
        <v>2.7400000000000001E-2</v>
      </c>
      <c r="AG131" s="3">
        <v>13.17</v>
      </c>
    </row>
    <row r="132" spans="1:33" x14ac:dyDescent="0.75">
      <c r="A132" t="s">
        <v>168</v>
      </c>
      <c r="B132" s="1">
        <v>24693</v>
      </c>
      <c r="C132" s="2">
        <v>0.4753</v>
      </c>
      <c r="D132" s="2">
        <v>0.52470000000000006</v>
      </c>
      <c r="E132" s="2">
        <v>0</v>
      </c>
      <c r="F132" s="1">
        <v>24194</v>
      </c>
      <c r="G132">
        <v>499</v>
      </c>
      <c r="H132" s="1">
        <v>6635</v>
      </c>
      <c r="I132" s="1">
        <v>18058</v>
      </c>
      <c r="J132" s="2">
        <v>0.79369999999999996</v>
      </c>
      <c r="K132" s="2">
        <v>3.5999999999999999E-3</v>
      </c>
      <c r="L132" s="2">
        <v>1.1000000000000001E-3</v>
      </c>
      <c r="M132" s="2">
        <v>2.8799999999999999E-2</v>
      </c>
      <c r="N132" s="2">
        <v>0.12939999999999999</v>
      </c>
      <c r="O132" s="2">
        <v>4.3499999999999997E-2</v>
      </c>
      <c r="P132" s="2">
        <v>0.30530000000000002</v>
      </c>
      <c r="Q132" s="2">
        <v>4.0899999999999999E-2</v>
      </c>
      <c r="R132">
        <v>4.32</v>
      </c>
      <c r="S132" s="1">
        <v>332599</v>
      </c>
      <c r="T132" s="2">
        <v>8.2500000000000004E-2</v>
      </c>
      <c r="U132" s="3">
        <v>37.770000000000003</v>
      </c>
      <c r="V132" s="1">
        <v>47716</v>
      </c>
      <c r="W132" s="2">
        <v>2.3599999999999999E-2</v>
      </c>
      <c r="X132" s="3">
        <v>18.920000000000002</v>
      </c>
      <c r="Y132" s="1">
        <v>34313</v>
      </c>
      <c r="Z132" s="2">
        <v>3.5700000000000003E-2</v>
      </c>
      <c r="AA132" s="3">
        <v>9.02</v>
      </c>
      <c r="AB132">
        <v>0</v>
      </c>
      <c r="AE132" s="1">
        <v>96951</v>
      </c>
      <c r="AF132" s="2">
        <v>6.0900000000000003E-2</v>
      </c>
      <c r="AG132" s="3">
        <v>14.91</v>
      </c>
    </row>
    <row r="133" spans="1:33" x14ac:dyDescent="0.75">
      <c r="A133" t="s">
        <v>169</v>
      </c>
      <c r="B133" s="1">
        <v>24200</v>
      </c>
      <c r="C133" s="2">
        <v>0.53359999999999996</v>
      </c>
      <c r="D133" s="2">
        <v>0.46639999999999998</v>
      </c>
      <c r="E133" s="2">
        <v>0</v>
      </c>
      <c r="F133" s="1">
        <v>23928</v>
      </c>
      <c r="G133">
        <v>272</v>
      </c>
      <c r="H133" s="1">
        <v>8292</v>
      </c>
      <c r="I133" s="1">
        <v>15908</v>
      </c>
      <c r="J133" s="2">
        <v>0.72860000000000003</v>
      </c>
      <c r="K133" s="2">
        <v>2.9999999999999997E-4</v>
      </c>
      <c r="L133" s="2">
        <v>1.23E-2</v>
      </c>
      <c r="M133" s="2">
        <v>9.4999999999999998E-3</v>
      </c>
      <c r="N133" s="2">
        <v>0.2089</v>
      </c>
      <c r="O133" s="2">
        <v>4.0399999999999998E-2</v>
      </c>
      <c r="P133" s="2">
        <v>0.38300000000000001</v>
      </c>
      <c r="Q133" s="2">
        <v>4.6600000000000003E-2</v>
      </c>
      <c r="R133">
        <v>3.57</v>
      </c>
      <c r="S133" s="1">
        <v>248137</v>
      </c>
      <c r="T133" s="2">
        <v>7.8100000000000003E-2</v>
      </c>
      <c r="U133" s="3">
        <v>36.81</v>
      </c>
      <c r="V133" s="1">
        <v>51633</v>
      </c>
      <c r="W133" s="2">
        <v>3.0499999999999999E-2</v>
      </c>
      <c r="X133" s="3">
        <v>19.600000000000001</v>
      </c>
      <c r="Y133" s="1">
        <v>41649</v>
      </c>
      <c r="Z133" s="2">
        <v>5.0099999999999999E-2</v>
      </c>
      <c r="AA133" s="3">
        <v>9.6199999999999992</v>
      </c>
      <c r="AB133" s="1">
        <v>15649</v>
      </c>
      <c r="AC133" s="2">
        <v>7.0000000000000001E-3</v>
      </c>
      <c r="AD133" s="3">
        <v>25.86</v>
      </c>
      <c r="AE133" s="1">
        <v>94805</v>
      </c>
      <c r="AF133" s="2">
        <v>7.1300000000000002E-2</v>
      </c>
      <c r="AG133" s="3">
        <v>15.39</v>
      </c>
    </row>
    <row r="134" spans="1:33" x14ac:dyDescent="0.75">
      <c r="A134" t="s">
        <v>170</v>
      </c>
      <c r="B134" s="1">
        <v>24018</v>
      </c>
      <c r="C134" s="2">
        <v>1</v>
      </c>
      <c r="D134" s="2">
        <v>0</v>
      </c>
      <c r="E134" s="2">
        <v>0</v>
      </c>
      <c r="F134" s="1">
        <v>23624</v>
      </c>
      <c r="G134">
        <v>394</v>
      </c>
      <c r="H134" s="1">
        <v>6567</v>
      </c>
      <c r="I134" s="1">
        <v>17451</v>
      </c>
      <c r="J134" s="2">
        <v>0.71399999999999997</v>
      </c>
      <c r="K134" s="2">
        <v>1.35E-2</v>
      </c>
      <c r="L134" s="2">
        <v>2.6200000000000001E-2</v>
      </c>
      <c r="M134" s="2">
        <v>5.8700000000000002E-2</v>
      </c>
      <c r="N134" s="2">
        <v>0.15079999999999999</v>
      </c>
      <c r="O134" s="2">
        <v>3.6900000000000002E-2</v>
      </c>
      <c r="P134" s="2">
        <v>0.41889999999999999</v>
      </c>
      <c r="Q134" s="2">
        <v>5.6300000000000003E-2</v>
      </c>
      <c r="R134">
        <v>4.45</v>
      </c>
      <c r="S134" s="1">
        <v>305643</v>
      </c>
      <c r="T134" s="2">
        <v>9.8400000000000001E-2</v>
      </c>
      <c r="U134" s="3">
        <v>29.07</v>
      </c>
      <c r="V134" s="1">
        <v>58604</v>
      </c>
      <c r="W134" s="2">
        <v>3.3599999999999998E-2</v>
      </c>
      <c r="X134" s="3">
        <v>16.32</v>
      </c>
      <c r="Y134" s="1">
        <v>49530</v>
      </c>
      <c r="Z134" s="2">
        <v>5.0900000000000001E-2</v>
      </c>
      <c r="AA134" s="3">
        <v>9.1</v>
      </c>
      <c r="AB134" s="1">
        <v>5057</v>
      </c>
      <c r="AC134" s="2">
        <v>4.1000000000000003E-3</v>
      </c>
      <c r="AD134" s="3">
        <v>11.51</v>
      </c>
      <c r="AE134" s="1">
        <v>52363</v>
      </c>
      <c r="AF134" s="2">
        <v>2.0899999999999998E-2</v>
      </c>
      <c r="AG134" s="3">
        <v>23.43</v>
      </c>
    </row>
    <row r="135" spans="1:33" x14ac:dyDescent="0.75">
      <c r="A135" t="s">
        <v>171</v>
      </c>
      <c r="B135" s="1">
        <v>23657</v>
      </c>
      <c r="C135" s="2">
        <v>0.46600000000000003</v>
      </c>
      <c r="D135" s="2">
        <v>0.53400000000000003</v>
      </c>
      <c r="E135" s="2">
        <v>0</v>
      </c>
      <c r="F135" s="1">
        <v>23449</v>
      </c>
      <c r="G135">
        <v>208</v>
      </c>
      <c r="H135" s="1">
        <v>5915</v>
      </c>
      <c r="I135" s="1">
        <v>17742</v>
      </c>
      <c r="J135" s="2">
        <v>0.72299999999999998</v>
      </c>
      <c r="K135" s="2">
        <v>0</v>
      </c>
      <c r="L135" s="2">
        <v>1.5800000000000002E-2</v>
      </c>
      <c r="M135" s="2">
        <v>0.02</v>
      </c>
      <c r="N135" s="2">
        <v>0.2026</v>
      </c>
      <c r="O135" s="2">
        <v>3.8699999999999998E-2</v>
      </c>
      <c r="P135" s="2">
        <v>0.36180000000000001</v>
      </c>
      <c r="Q135" s="2">
        <v>2.12E-2</v>
      </c>
      <c r="R135">
        <v>4.3499999999999996</v>
      </c>
      <c r="S135" s="1">
        <v>313977</v>
      </c>
      <c r="T135" s="2">
        <v>8.8499999999999995E-2</v>
      </c>
      <c r="U135" s="3">
        <v>34.49</v>
      </c>
      <c r="V135" s="1">
        <v>68226</v>
      </c>
      <c r="W135" s="2">
        <v>3.5799999999999998E-2</v>
      </c>
      <c r="X135" s="3">
        <v>18.52</v>
      </c>
      <c r="Y135" s="1">
        <v>39943</v>
      </c>
      <c r="Z135" s="2">
        <v>4.3299999999999998E-2</v>
      </c>
      <c r="AA135" s="3">
        <v>8.9600000000000009</v>
      </c>
      <c r="AB135">
        <v>0</v>
      </c>
      <c r="AE135" s="1">
        <v>146766</v>
      </c>
      <c r="AF135" s="2">
        <v>9.74E-2</v>
      </c>
      <c r="AG135" s="3">
        <v>14.64</v>
      </c>
    </row>
    <row r="136" spans="1:33" x14ac:dyDescent="0.75">
      <c r="A136" t="s">
        <v>172</v>
      </c>
      <c r="B136" s="1">
        <v>23447</v>
      </c>
      <c r="C136" s="2">
        <v>0.49569999999999997</v>
      </c>
      <c r="D136" s="2">
        <v>0.50429999999999997</v>
      </c>
      <c r="E136" s="2">
        <v>0</v>
      </c>
      <c r="F136" s="1">
        <v>22949</v>
      </c>
      <c r="G136">
        <v>498</v>
      </c>
      <c r="H136" s="1">
        <v>8105</v>
      </c>
      <c r="I136" s="1">
        <v>15342</v>
      </c>
      <c r="J136" s="2">
        <v>0.71989999999999998</v>
      </c>
      <c r="K136" s="2">
        <v>0</v>
      </c>
      <c r="L136" s="2">
        <v>1.17E-2</v>
      </c>
      <c r="M136" s="2">
        <v>4.0300000000000002E-2</v>
      </c>
      <c r="N136" s="2">
        <v>0.2112</v>
      </c>
      <c r="O136" s="2">
        <v>1.6799999999999999E-2</v>
      </c>
      <c r="P136" s="2">
        <v>0.33329999999999999</v>
      </c>
      <c r="Q136" s="2">
        <v>2.87E-2</v>
      </c>
      <c r="R136">
        <v>4.3899999999999997</v>
      </c>
      <c r="S136" s="1">
        <v>317480</v>
      </c>
      <c r="T136" s="2">
        <v>8.6999999999999994E-2</v>
      </c>
      <c r="U136" s="3">
        <v>35.49</v>
      </c>
      <c r="V136" s="1">
        <v>61711</v>
      </c>
      <c r="W136" s="2">
        <v>3.8899999999999997E-2</v>
      </c>
      <c r="X136" s="3">
        <v>15.41</v>
      </c>
      <c r="Y136" s="1">
        <v>23982</v>
      </c>
      <c r="Z136" s="2">
        <v>2.63E-2</v>
      </c>
      <c r="AA136" s="3">
        <v>8.8699999999999992</v>
      </c>
      <c r="AB136">
        <v>0</v>
      </c>
      <c r="AE136" s="1">
        <v>90355</v>
      </c>
      <c r="AF136" s="2">
        <v>7.9299999999999995E-2</v>
      </c>
      <c r="AG136" s="3">
        <v>11.08</v>
      </c>
    </row>
    <row r="137" spans="1:33" x14ac:dyDescent="0.75">
      <c r="A137" t="s">
        <v>173</v>
      </c>
      <c r="B137" s="1">
        <v>23350</v>
      </c>
      <c r="C137" s="2">
        <v>0.54869999999999997</v>
      </c>
      <c r="D137" s="2">
        <v>0.45129999999999998</v>
      </c>
      <c r="E137" s="2">
        <v>0</v>
      </c>
      <c r="F137" s="1">
        <v>23126</v>
      </c>
      <c r="G137">
        <v>224</v>
      </c>
      <c r="H137" s="1">
        <v>7885</v>
      </c>
      <c r="I137" s="1">
        <v>15465</v>
      </c>
      <c r="J137" s="2">
        <v>0.76749999999999996</v>
      </c>
      <c r="K137" s="2">
        <v>1.8E-3</v>
      </c>
      <c r="L137" s="2">
        <v>2.2000000000000001E-3</v>
      </c>
      <c r="M137" s="2">
        <v>1.9800000000000002E-2</v>
      </c>
      <c r="N137" s="2">
        <v>0.16819999999999999</v>
      </c>
      <c r="O137" s="2">
        <v>4.0399999999999998E-2</v>
      </c>
      <c r="P137" s="2">
        <v>0.38109999999999999</v>
      </c>
      <c r="Q137" s="2">
        <v>1.7600000000000001E-2</v>
      </c>
      <c r="R137">
        <v>4.37</v>
      </c>
      <c r="S137" s="1">
        <v>235276</v>
      </c>
      <c r="T137" s="2">
        <v>7.2800000000000004E-2</v>
      </c>
      <c r="U137" s="3">
        <v>31.64</v>
      </c>
      <c r="V137" s="1">
        <v>52565</v>
      </c>
      <c r="W137" s="2">
        <v>2.98E-2</v>
      </c>
      <c r="X137" s="3">
        <v>17.28</v>
      </c>
      <c r="Y137" s="1">
        <v>11457</v>
      </c>
      <c r="Z137" s="2">
        <v>1.2999999999999999E-2</v>
      </c>
      <c r="AA137" s="3">
        <v>8.61</v>
      </c>
      <c r="AB137" s="1">
        <v>46228</v>
      </c>
      <c r="AC137" s="2">
        <v>2.29E-2</v>
      </c>
      <c r="AD137" s="3">
        <v>19.809999999999999</v>
      </c>
      <c r="AE137" s="1">
        <v>36766</v>
      </c>
      <c r="AF137" s="2">
        <v>2.7699999999999999E-2</v>
      </c>
      <c r="AG137" s="3">
        <v>13.02</v>
      </c>
    </row>
    <row r="138" spans="1:33" x14ac:dyDescent="0.75">
      <c r="A138" t="s">
        <v>174</v>
      </c>
      <c r="B138" s="1">
        <v>23122</v>
      </c>
      <c r="C138" s="2">
        <v>0.64149999999999996</v>
      </c>
      <c r="D138" s="2">
        <v>0.35849999999999999</v>
      </c>
      <c r="E138" s="2">
        <v>0</v>
      </c>
      <c r="F138" s="1">
        <v>23012</v>
      </c>
      <c r="G138">
        <v>110</v>
      </c>
      <c r="H138" s="1">
        <v>2989</v>
      </c>
      <c r="I138" s="1">
        <v>20133</v>
      </c>
      <c r="J138" s="2">
        <v>0.7903</v>
      </c>
      <c r="K138" s="2">
        <v>2.5100000000000001E-2</v>
      </c>
      <c r="L138" s="2">
        <v>8.0000000000000004E-4</v>
      </c>
      <c r="M138" s="2">
        <v>3.5400000000000001E-2</v>
      </c>
      <c r="N138" s="2">
        <v>0.12089999999999999</v>
      </c>
      <c r="O138" s="2">
        <v>2.7400000000000001E-2</v>
      </c>
      <c r="P138" s="2">
        <v>0.2369</v>
      </c>
      <c r="Q138" s="2">
        <v>4.7600000000000003E-2</v>
      </c>
      <c r="R138">
        <v>3.9</v>
      </c>
      <c r="S138" s="1">
        <v>253115</v>
      </c>
      <c r="T138" s="2">
        <v>7.7600000000000002E-2</v>
      </c>
      <c r="U138" s="3">
        <v>36.229999999999997</v>
      </c>
      <c r="V138" s="1">
        <v>114983</v>
      </c>
      <c r="W138" s="2">
        <v>6.6600000000000006E-2</v>
      </c>
      <c r="X138" s="3">
        <v>19.170000000000002</v>
      </c>
      <c r="Y138" s="1">
        <v>13101</v>
      </c>
      <c r="Z138" s="2">
        <v>1.61E-2</v>
      </c>
      <c r="AA138" s="3">
        <v>9.0500000000000007</v>
      </c>
      <c r="AB138" s="1">
        <v>23961</v>
      </c>
      <c r="AC138" s="2">
        <v>1.37E-2</v>
      </c>
      <c r="AD138" s="3">
        <v>19.36</v>
      </c>
      <c r="AE138" s="1">
        <v>17698</v>
      </c>
      <c r="AF138" s="2">
        <v>1.66E-2</v>
      </c>
      <c r="AG138" s="3">
        <v>11.86</v>
      </c>
    </row>
    <row r="139" spans="1:33" x14ac:dyDescent="0.75">
      <c r="A139" t="s">
        <v>175</v>
      </c>
      <c r="B139" s="1">
        <v>22905</v>
      </c>
      <c r="C139" s="2">
        <v>0.40989999999999999</v>
      </c>
      <c r="D139" s="2">
        <v>0.59009999999999996</v>
      </c>
      <c r="E139" s="2">
        <v>0</v>
      </c>
      <c r="F139" s="1">
        <v>22738</v>
      </c>
      <c r="G139">
        <v>167</v>
      </c>
      <c r="H139" s="1">
        <v>10484</v>
      </c>
      <c r="I139" s="1">
        <v>12421</v>
      </c>
      <c r="J139" s="2">
        <v>0.79159999999999997</v>
      </c>
      <c r="K139" s="2">
        <v>7.4000000000000003E-3</v>
      </c>
      <c r="L139" s="2">
        <v>1.41E-2</v>
      </c>
      <c r="M139" s="2">
        <v>4.36E-2</v>
      </c>
      <c r="N139" s="2">
        <v>0.104</v>
      </c>
      <c r="O139" s="2">
        <v>3.9300000000000002E-2</v>
      </c>
      <c r="P139" s="2">
        <v>0.32719999999999999</v>
      </c>
      <c r="Q139" s="2">
        <v>4.0599999999999997E-2</v>
      </c>
      <c r="R139">
        <v>5.74</v>
      </c>
      <c r="S139" s="1">
        <v>195627</v>
      </c>
      <c r="T139" s="2">
        <v>5.0500000000000003E-2</v>
      </c>
      <c r="U139" s="3">
        <v>29.45</v>
      </c>
      <c r="V139" s="1">
        <v>35290</v>
      </c>
      <c r="W139" s="2">
        <v>1.43E-2</v>
      </c>
      <c r="X139" s="3">
        <v>18.75</v>
      </c>
      <c r="Y139" s="1">
        <v>26010</v>
      </c>
      <c r="Z139" s="2">
        <v>2.2200000000000001E-2</v>
      </c>
      <c r="AA139" s="3">
        <v>8.91</v>
      </c>
      <c r="AB139" s="1">
        <v>1349</v>
      </c>
      <c r="AC139" s="2">
        <v>4.0000000000000002E-4</v>
      </c>
      <c r="AD139" s="3">
        <v>23.93</v>
      </c>
      <c r="AE139" s="1">
        <v>16529</v>
      </c>
      <c r="AF139" s="2">
        <v>1.3100000000000001E-2</v>
      </c>
      <c r="AG139" s="3">
        <v>9.57</v>
      </c>
    </row>
    <row r="140" spans="1:33" x14ac:dyDescent="0.75">
      <c r="A140" t="s">
        <v>176</v>
      </c>
      <c r="B140" s="1">
        <v>22904</v>
      </c>
      <c r="C140" s="2">
        <v>0.49640000000000001</v>
      </c>
      <c r="D140" s="2">
        <v>0.50360000000000005</v>
      </c>
      <c r="E140" s="2">
        <v>0</v>
      </c>
      <c r="F140" s="1">
        <v>22653</v>
      </c>
      <c r="G140">
        <v>251</v>
      </c>
      <c r="H140" s="1">
        <v>5946</v>
      </c>
      <c r="I140" s="1">
        <v>16958</v>
      </c>
      <c r="J140" s="2">
        <v>0.77549999999999997</v>
      </c>
      <c r="K140" s="2">
        <v>7.6E-3</v>
      </c>
      <c r="L140" s="2">
        <v>6.1999999999999998E-3</v>
      </c>
      <c r="M140" s="2">
        <v>4.9099999999999998E-2</v>
      </c>
      <c r="N140" s="2">
        <v>0.12570000000000001</v>
      </c>
      <c r="O140" s="2">
        <v>3.5999999999999997E-2</v>
      </c>
      <c r="P140" s="2">
        <v>0.30470000000000003</v>
      </c>
      <c r="Q140" s="2">
        <v>1.37E-2</v>
      </c>
      <c r="R140">
        <v>3.97</v>
      </c>
      <c r="S140" s="1">
        <v>348405</v>
      </c>
      <c r="T140" s="2">
        <v>0.12720000000000001</v>
      </c>
      <c r="U140" s="3">
        <v>30.11</v>
      </c>
      <c r="V140" s="1">
        <v>72780</v>
      </c>
      <c r="W140" s="2">
        <v>4.7E-2</v>
      </c>
      <c r="X140" s="3">
        <v>17.03</v>
      </c>
      <c r="Y140" s="1">
        <v>25163</v>
      </c>
      <c r="Z140" s="2">
        <v>3.0200000000000001E-2</v>
      </c>
      <c r="AA140" s="3">
        <v>9.15</v>
      </c>
      <c r="AB140" s="1">
        <v>2672</v>
      </c>
      <c r="AC140" s="2">
        <v>2.3E-3</v>
      </c>
      <c r="AD140" s="3">
        <v>12.77</v>
      </c>
      <c r="AE140" s="1">
        <v>29462</v>
      </c>
      <c r="AF140" s="2">
        <v>1.72E-2</v>
      </c>
      <c r="AG140" s="3">
        <v>18.82</v>
      </c>
    </row>
    <row r="141" spans="1:33" x14ac:dyDescent="0.75">
      <c r="A141" t="s">
        <v>177</v>
      </c>
      <c r="B141" s="1">
        <v>22107</v>
      </c>
      <c r="C141" s="2">
        <v>0.51019999999999999</v>
      </c>
      <c r="D141" s="2">
        <v>0.48980000000000001</v>
      </c>
      <c r="E141" s="2">
        <v>0</v>
      </c>
      <c r="F141" s="1">
        <v>21571</v>
      </c>
      <c r="G141">
        <v>536</v>
      </c>
      <c r="H141" s="1">
        <v>7713</v>
      </c>
      <c r="I141" s="1">
        <v>14394</v>
      </c>
      <c r="J141" s="2">
        <v>0.72019999999999995</v>
      </c>
      <c r="K141" s="2">
        <v>1E-4</v>
      </c>
      <c r="L141" s="2">
        <v>5.8799999999999998E-2</v>
      </c>
      <c r="M141" s="2">
        <v>3.6400000000000002E-2</v>
      </c>
      <c r="N141" s="2">
        <v>0.15529999999999999</v>
      </c>
      <c r="O141" s="2">
        <v>2.92E-2</v>
      </c>
      <c r="P141" s="2">
        <v>0.36430000000000001</v>
      </c>
      <c r="Q141" s="2">
        <v>2.7099999999999999E-2</v>
      </c>
      <c r="R141">
        <v>4.1100000000000003</v>
      </c>
      <c r="S141" s="1">
        <v>314395</v>
      </c>
      <c r="T141" s="2">
        <v>9.0800000000000006E-2</v>
      </c>
      <c r="U141" s="3">
        <v>38.11</v>
      </c>
      <c r="V141" s="1">
        <v>59366</v>
      </c>
      <c r="W141" s="2">
        <v>4.4499999999999998E-2</v>
      </c>
      <c r="X141" s="3">
        <v>14.68</v>
      </c>
      <c r="Y141" s="1">
        <v>27078</v>
      </c>
      <c r="Z141" s="2">
        <v>3.2399999999999998E-2</v>
      </c>
      <c r="AA141" s="3">
        <v>9.2100000000000009</v>
      </c>
      <c r="AB141" s="1">
        <v>1926</v>
      </c>
      <c r="AC141" s="2">
        <v>1.8E-3</v>
      </c>
      <c r="AD141" s="3">
        <v>11.52</v>
      </c>
      <c r="AE141" s="1">
        <v>77700</v>
      </c>
      <c r="AF141" s="2">
        <v>5.2200000000000003E-2</v>
      </c>
      <c r="AG141" s="3">
        <v>16.37</v>
      </c>
    </row>
    <row r="142" spans="1:33" x14ac:dyDescent="0.75">
      <c r="A142" t="s">
        <v>178</v>
      </c>
      <c r="B142" s="1">
        <v>21639</v>
      </c>
      <c r="C142" s="2">
        <v>0.47739999999999999</v>
      </c>
      <c r="D142" s="2">
        <v>0.52259999999999995</v>
      </c>
      <c r="E142" s="2">
        <v>0</v>
      </c>
      <c r="F142" s="1">
        <v>21534</v>
      </c>
      <c r="G142">
        <v>105</v>
      </c>
      <c r="H142" s="1">
        <v>5750</v>
      </c>
      <c r="I142" s="1">
        <v>15889</v>
      </c>
      <c r="J142" s="2">
        <v>0.69189999999999996</v>
      </c>
      <c r="K142" s="2">
        <v>4.7000000000000002E-3</v>
      </c>
      <c r="L142" s="2">
        <v>1.8499999999999999E-2</v>
      </c>
      <c r="M142" s="2">
        <v>3.1699999999999999E-2</v>
      </c>
      <c r="N142" s="2">
        <v>0.20399999999999999</v>
      </c>
      <c r="O142" s="2">
        <v>4.9200000000000001E-2</v>
      </c>
      <c r="P142" s="2">
        <v>0.31879999999999997</v>
      </c>
      <c r="Q142" s="2">
        <v>5.5500000000000001E-2</v>
      </c>
      <c r="R142">
        <v>4.45</v>
      </c>
      <c r="S142" s="1">
        <v>289809</v>
      </c>
      <c r="T142" s="2">
        <v>7.8600000000000003E-2</v>
      </c>
      <c r="U142" s="3">
        <v>38.33</v>
      </c>
      <c r="V142" s="1">
        <v>87629</v>
      </c>
      <c r="W142" s="2">
        <v>4.8599999999999997E-2</v>
      </c>
      <c r="X142" s="3">
        <v>18.73</v>
      </c>
      <c r="Y142" s="1">
        <v>47946</v>
      </c>
      <c r="Z142" s="2">
        <v>5.5800000000000002E-2</v>
      </c>
      <c r="AA142" s="3">
        <v>8.92</v>
      </c>
      <c r="AB142" s="1">
        <v>15307</v>
      </c>
      <c r="AC142" s="2">
        <v>1.2800000000000001E-2</v>
      </c>
      <c r="AD142" s="3">
        <v>12.42</v>
      </c>
      <c r="AE142" s="1">
        <v>93948</v>
      </c>
      <c r="AF142" s="2">
        <v>8.9599999999999999E-2</v>
      </c>
      <c r="AG142" s="3">
        <v>10.9</v>
      </c>
    </row>
    <row r="143" spans="1:33" x14ac:dyDescent="0.75">
      <c r="A143" t="s">
        <v>179</v>
      </c>
      <c r="B143" s="1">
        <v>21469</v>
      </c>
      <c r="C143" s="2">
        <v>0.48459999999999998</v>
      </c>
      <c r="D143" s="2">
        <v>0.51539999999999997</v>
      </c>
      <c r="E143" s="2">
        <v>0</v>
      </c>
      <c r="F143" s="1">
        <v>21296</v>
      </c>
      <c r="G143">
        <v>173</v>
      </c>
      <c r="H143" s="1">
        <v>5637</v>
      </c>
      <c r="I143" s="1">
        <v>15832</v>
      </c>
      <c r="J143" s="2">
        <v>0.65980000000000005</v>
      </c>
      <c r="K143" s="2">
        <v>0</v>
      </c>
      <c r="L143" s="2">
        <v>1.7000000000000001E-2</v>
      </c>
      <c r="M143" s="2">
        <v>6.5000000000000002E-2</v>
      </c>
      <c r="N143" s="2">
        <v>0.23980000000000001</v>
      </c>
      <c r="O143" s="2">
        <v>1.84E-2</v>
      </c>
      <c r="P143" s="2">
        <v>0.30230000000000001</v>
      </c>
      <c r="Q143" s="2">
        <v>3.7600000000000001E-2</v>
      </c>
      <c r="R143">
        <v>4.5999999999999996</v>
      </c>
      <c r="S143" s="1">
        <v>496696</v>
      </c>
      <c r="T143" s="2">
        <v>0.13869999999999999</v>
      </c>
      <c r="U143" s="3">
        <v>36.24</v>
      </c>
      <c r="V143" s="1">
        <v>124260</v>
      </c>
      <c r="W143" s="2">
        <v>8.1500000000000003E-2</v>
      </c>
      <c r="X143" s="3">
        <v>15.44</v>
      </c>
      <c r="Y143" s="1">
        <v>55317</v>
      </c>
      <c r="Z143" s="2">
        <v>6.2300000000000001E-2</v>
      </c>
      <c r="AA143" s="3">
        <v>8.98</v>
      </c>
      <c r="AB143">
        <v>0</v>
      </c>
      <c r="AE143" s="1">
        <v>234658</v>
      </c>
      <c r="AF143" s="2">
        <v>0.2354</v>
      </c>
      <c r="AG143" s="3">
        <v>10.09</v>
      </c>
    </row>
    <row r="144" spans="1:33" x14ac:dyDescent="0.75">
      <c r="A144" t="s">
        <v>180</v>
      </c>
      <c r="B144" s="1">
        <v>20966</v>
      </c>
      <c r="C144" s="2">
        <v>1</v>
      </c>
      <c r="D144" s="2">
        <v>0</v>
      </c>
      <c r="E144" s="2">
        <v>0</v>
      </c>
      <c r="F144" s="1">
        <v>20746</v>
      </c>
      <c r="G144">
        <v>220</v>
      </c>
      <c r="H144" s="1">
        <v>10425</v>
      </c>
      <c r="I144" s="1">
        <v>10541</v>
      </c>
      <c r="J144" s="2">
        <v>0.81120000000000003</v>
      </c>
      <c r="K144" s="2">
        <v>1E-4</v>
      </c>
      <c r="L144" s="2">
        <v>1E-4</v>
      </c>
      <c r="M144" s="2">
        <v>1.89E-2</v>
      </c>
      <c r="N144" s="2">
        <v>0.15390000000000001</v>
      </c>
      <c r="O144" s="2">
        <v>1.5699999999999999E-2</v>
      </c>
      <c r="P144" s="2">
        <v>0.55059999999999998</v>
      </c>
      <c r="Q144" s="2">
        <v>5.1499999999999997E-2</v>
      </c>
      <c r="R144">
        <v>2.81</v>
      </c>
      <c r="S144" s="1">
        <v>265966</v>
      </c>
      <c r="T144" s="2">
        <v>0.11210000000000001</v>
      </c>
      <c r="U144" s="3">
        <v>40.31</v>
      </c>
      <c r="V144" s="1">
        <v>56904</v>
      </c>
      <c r="W144" s="2">
        <v>4.4200000000000003E-2</v>
      </c>
      <c r="X144" s="3">
        <v>21.88</v>
      </c>
      <c r="Y144" s="1">
        <v>23099</v>
      </c>
      <c r="Z144" s="2">
        <v>4.1200000000000001E-2</v>
      </c>
      <c r="AA144" s="3">
        <v>9.51</v>
      </c>
      <c r="AB144" s="1">
        <v>3020</v>
      </c>
      <c r="AC144" s="2">
        <v>4.3E-3</v>
      </c>
      <c r="AD144" s="3">
        <v>12.02</v>
      </c>
      <c r="AE144" s="1">
        <v>23513</v>
      </c>
      <c r="AF144" s="2">
        <v>2.47E-2</v>
      </c>
      <c r="AG144" s="3">
        <v>16.16</v>
      </c>
    </row>
    <row r="145" spans="1:33" x14ac:dyDescent="0.75">
      <c r="A145" t="s">
        <v>181</v>
      </c>
      <c r="B145" s="1">
        <v>20419</v>
      </c>
      <c r="C145" s="2">
        <v>0.52829999999999999</v>
      </c>
      <c r="D145" s="2">
        <v>0.39329999999999998</v>
      </c>
      <c r="E145" s="2">
        <v>7.8399999999999997E-2</v>
      </c>
      <c r="F145" s="1">
        <v>20175</v>
      </c>
      <c r="G145">
        <v>244</v>
      </c>
      <c r="H145" s="1">
        <v>8452</v>
      </c>
      <c r="I145" s="1">
        <v>11967</v>
      </c>
      <c r="J145" s="2">
        <v>0.71989999999999998</v>
      </c>
      <c r="K145" s="2">
        <v>1.9E-3</v>
      </c>
      <c r="L145" s="2">
        <v>8.0000000000000002E-3</v>
      </c>
      <c r="M145" s="2">
        <v>4.41E-2</v>
      </c>
      <c r="N145" s="2">
        <v>0.17849999999999999</v>
      </c>
      <c r="O145" s="2">
        <v>4.7699999999999999E-2</v>
      </c>
      <c r="P145" s="2">
        <v>0.32229999999999998</v>
      </c>
      <c r="Q145" s="2">
        <v>8.9499999999999996E-2</v>
      </c>
      <c r="R145">
        <v>5.89</v>
      </c>
      <c r="S145" s="1">
        <v>186930</v>
      </c>
      <c r="T145" s="2">
        <v>5.0700000000000002E-2</v>
      </c>
      <c r="U145" s="3">
        <v>30.64</v>
      </c>
      <c r="V145" s="1">
        <v>45192</v>
      </c>
      <c r="W145" s="2">
        <v>2.23E-2</v>
      </c>
      <c r="X145" s="3">
        <v>16.87</v>
      </c>
      <c r="Y145" s="1">
        <v>23009</v>
      </c>
      <c r="Z145" s="2">
        <v>2.2200000000000001E-2</v>
      </c>
      <c r="AA145" s="3">
        <v>8.61</v>
      </c>
      <c r="AB145" s="1">
        <v>7030</v>
      </c>
      <c r="AC145" s="2">
        <v>5.0000000000000001E-3</v>
      </c>
      <c r="AD145" s="3">
        <v>11.75</v>
      </c>
      <c r="AE145" s="1">
        <v>33364</v>
      </c>
      <c r="AF145" s="2">
        <v>2.46E-2</v>
      </c>
      <c r="AG145" s="3">
        <v>11.27</v>
      </c>
    </row>
    <row r="146" spans="1:33" x14ac:dyDescent="0.75">
      <c r="A146" t="s">
        <v>182</v>
      </c>
      <c r="B146" s="1">
        <v>19764</v>
      </c>
      <c r="C146" s="2">
        <v>0.91200000000000003</v>
      </c>
      <c r="D146" s="2">
        <v>0</v>
      </c>
      <c r="E146" s="2">
        <v>8.7999999999999995E-2</v>
      </c>
      <c r="F146" s="1">
        <v>19248</v>
      </c>
      <c r="G146">
        <v>516</v>
      </c>
      <c r="H146" s="1">
        <v>9388</v>
      </c>
      <c r="I146" s="1">
        <v>10376</v>
      </c>
      <c r="J146" s="2">
        <v>0.82589999999999997</v>
      </c>
      <c r="K146" s="2">
        <v>0</v>
      </c>
      <c r="L146" s="2">
        <v>2.0000000000000001E-4</v>
      </c>
      <c r="M146" s="2">
        <v>0.01</v>
      </c>
      <c r="N146" s="2">
        <v>0.1507</v>
      </c>
      <c r="O146" s="2">
        <v>1.3299999999999999E-2</v>
      </c>
      <c r="P146" s="2">
        <v>0.50600000000000001</v>
      </c>
      <c r="Q146" s="2">
        <v>3.3500000000000002E-2</v>
      </c>
      <c r="R146">
        <v>3.28</v>
      </c>
      <c r="S146" s="1">
        <v>201511</v>
      </c>
      <c r="T146" s="2">
        <v>7.6600000000000001E-2</v>
      </c>
      <c r="U146" s="3">
        <v>40.630000000000003</v>
      </c>
      <c r="V146" s="1">
        <v>34124</v>
      </c>
      <c r="W146" s="2">
        <v>2.4799999999999999E-2</v>
      </c>
      <c r="X146" s="3">
        <v>21.2</v>
      </c>
      <c r="Y146" s="1">
        <v>15146</v>
      </c>
      <c r="Z146" s="2">
        <v>2.58E-2</v>
      </c>
      <c r="AA146" s="3">
        <v>9.08</v>
      </c>
      <c r="AB146" s="1">
        <v>2013</v>
      </c>
      <c r="AC146" s="2">
        <v>2.2000000000000001E-3</v>
      </c>
      <c r="AD146" s="3">
        <v>14.03</v>
      </c>
      <c r="AE146" s="1">
        <v>18561</v>
      </c>
      <c r="AF146" s="2">
        <v>1.9599999999999999E-2</v>
      </c>
      <c r="AG146" s="3">
        <v>14.6</v>
      </c>
    </row>
    <row r="147" spans="1:33" x14ac:dyDescent="0.75">
      <c r="A147" t="s">
        <v>183</v>
      </c>
      <c r="B147" s="1">
        <v>19080</v>
      </c>
      <c r="C147" s="2">
        <v>0.4572</v>
      </c>
      <c r="D147" s="2">
        <v>0.54279999999999995</v>
      </c>
      <c r="E147" s="2">
        <v>0</v>
      </c>
      <c r="F147" s="1">
        <v>19003</v>
      </c>
      <c r="G147">
        <v>77</v>
      </c>
      <c r="H147" s="1">
        <v>3742</v>
      </c>
      <c r="I147" s="1">
        <v>15338</v>
      </c>
      <c r="J147" s="2">
        <v>0.69510000000000005</v>
      </c>
      <c r="K147" s="2">
        <v>2.35E-2</v>
      </c>
      <c r="L147" s="2">
        <v>1.3899999999999999E-2</v>
      </c>
      <c r="M147" s="2">
        <v>6.13E-2</v>
      </c>
      <c r="N147" s="2">
        <v>0.16450000000000001</v>
      </c>
      <c r="O147" s="2">
        <v>4.1599999999999998E-2</v>
      </c>
      <c r="P147" s="2">
        <v>0.24959999999999999</v>
      </c>
      <c r="Q147" s="2">
        <v>8.2100000000000006E-2</v>
      </c>
      <c r="R147">
        <v>5.75</v>
      </c>
      <c r="S147" s="1">
        <v>346511</v>
      </c>
      <c r="T147" s="2">
        <v>0.1183</v>
      </c>
      <c r="U147" s="3">
        <v>26.69</v>
      </c>
      <c r="V147" s="1">
        <v>42005</v>
      </c>
      <c r="W147" s="2">
        <v>2.1100000000000001E-2</v>
      </c>
      <c r="X147" s="3">
        <v>18.13</v>
      </c>
      <c r="Y147" s="1">
        <v>54823</v>
      </c>
      <c r="Z147" s="2">
        <v>5.9799999999999999E-2</v>
      </c>
      <c r="AA147" s="3">
        <v>8.35</v>
      </c>
      <c r="AB147" s="1">
        <v>1439</v>
      </c>
      <c r="AC147" s="2">
        <v>5.9999999999999995E-4</v>
      </c>
      <c r="AD147" s="3">
        <v>21.14</v>
      </c>
      <c r="AE147" s="1">
        <v>16097</v>
      </c>
      <c r="AF147" s="2">
        <v>1.5699999999999999E-2</v>
      </c>
      <c r="AG147" s="3">
        <v>9.3699999999999992</v>
      </c>
    </row>
    <row r="148" spans="1:33" x14ac:dyDescent="0.75">
      <c r="A148" t="s">
        <v>184</v>
      </c>
      <c r="B148" s="1">
        <v>18991</v>
      </c>
      <c r="C148" s="2">
        <v>0.55130000000000001</v>
      </c>
      <c r="D148" s="2">
        <v>0.44869999999999999</v>
      </c>
      <c r="E148" s="2">
        <v>0</v>
      </c>
      <c r="F148" s="1">
        <v>18742</v>
      </c>
      <c r="G148">
        <v>249</v>
      </c>
      <c r="H148" s="1">
        <v>6006</v>
      </c>
      <c r="I148" s="1">
        <v>12985</v>
      </c>
      <c r="J148" s="2">
        <v>0.68840000000000001</v>
      </c>
      <c r="K148" s="2">
        <v>2.7000000000000001E-3</v>
      </c>
      <c r="L148" s="2">
        <v>1.67E-2</v>
      </c>
      <c r="M148" s="2">
        <v>4.2799999999999998E-2</v>
      </c>
      <c r="N148" s="2">
        <v>0.1827</v>
      </c>
      <c r="O148" s="2">
        <v>6.6699999999999995E-2</v>
      </c>
      <c r="P148" s="2">
        <v>0.34699999999999998</v>
      </c>
      <c r="Q148" s="2">
        <v>9.3299999999999994E-2</v>
      </c>
      <c r="R148">
        <v>4.99</v>
      </c>
      <c r="S148" s="1">
        <v>246724</v>
      </c>
      <c r="T148" s="2">
        <v>9.2700000000000005E-2</v>
      </c>
      <c r="U148" s="3">
        <v>28.09</v>
      </c>
      <c r="V148" s="1">
        <v>33941</v>
      </c>
      <c r="W148" s="2">
        <v>1.7100000000000001E-2</v>
      </c>
      <c r="X148" s="3">
        <v>20.9</v>
      </c>
      <c r="Y148" s="1">
        <v>18957</v>
      </c>
      <c r="Z148" s="2">
        <v>2.3900000000000001E-2</v>
      </c>
      <c r="AA148" s="3">
        <v>8.3800000000000008</v>
      </c>
      <c r="AB148">
        <v>0</v>
      </c>
      <c r="AE148" s="1">
        <v>35412</v>
      </c>
      <c r="AF148" s="2">
        <v>2.86E-2</v>
      </c>
      <c r="AG148" s="3">
        <v>13.05</v>
      </c>
    </row>
    <row r="149" spans="1:33" x14ac:dyDescent="0.75">
      <c r="A149" t="s">
        <v>185</v>
      </c>
      <c r="B149" s="1">
        <v>18343</v>
      </c>
      <c r="C149" s="2">
        <v>0.39190000000000003</v>
      </c>
      <c r="D149" s="2">
        <v>0.60809999999999997</v>
      </c>
      <c r="E149" s="2">
        <v>0</v>
      </c>
      <c r="F149" s="1">
        <v>18268</v>
      </c>
      <c r="G149">
        <v>75</v>
      </c>
      <c r="H149" s="1">
        <v>7516</v>
      </c>
      <c r="I149" s="1">
        <v>10827</v>
      </c>
      <c r="J149" s="2">
        <v>0.76139999999999997</v>
      </c>
      <c r="K149" s="2">
        <v>8.6999999999999994E-3</v>
      </c>
      <c r="L149" s="2">
        <v>4.7999999999999996E-3</v>
      </c>
      <c r="M149" s="2">
        <v>3.6999999999999998E-2</v>
      </c>
      <c r="N149" s="2">
        <v>0.14860000000000001</v>
      </c>
      <c r="O149" s="2">
        <v>3.9600000000000003E-2</v>
      </c>
      <c r="P149" s="2">
        <v>0.22789999999999999</v>
      </c>
      <c r="Q149" s="2">
        <v>1.49E-2</v>
      </c>
      <c r="R149">
        <v>6.01</v>
      </c>
      <c r="S149" s="1">
        <v>163631</v>
      </c>
      <c r="T149" s="2">
        <v>3.9600000000000003E-2</v>
      </c>
      <c r="U149" s="3">
        <v>37.479999999999997</v>
      </c>
      <c r="V149" s="1">
        <v>45649</v>
      </c>
      <c r="W149" s="2">
        <v>1.9800000000000002E-2</v>
      </c>
      <c r="X149" s="3">
        <v>20.92</v>
      </c>
      <c r="Y149" s="1">
        <v>21472</v>
      </c>
      <c r="Z149" s="2">
        <v>2.23E-2</v>
      </c>
      <c r="AA149" s="3">
        <v>8.75</v>
      </c>
      <c r="AB149" s="1">
        <v>15814</v>
      </c>
      <c r="AC149" s="2">
        <v>1.34E-2</v>
      </c>
      <c r="AD149" s="3">
        <v>10.69</v>
      </c>
      <c r="AE149" s="1">
        <v>14379</v>
      </c>
      <c r="AF149" s="2">
        <v>9.7999999999999997E-3</v>
      </c>
      <c r="AG149" s="3">
        <v>13.27</v>
      </c>
    </row>
    <row r="150" spans="1:33" x14ac:dyDescent="0.75">
      <c r="A150" t="s">
        <v>186</v>
      </c>
      <c r="B150" s="1">
        <v>17693</v>
      </c>
      <c r="C150" s="2">
        <v>0.51300000000000001</v>
      </c>
      <c r="D150" s="2">
        <v>0.48699999999999999</v>
      </c>
      <c r="E150" s="2">
        <v>0</v>
      </c>
      <c r="F150" s="1">
        <v>17334</v>
      </c>
      <c r="G150">
        <v>359</v>
      </c>
      <c r="H150" s="1">
        <v>6213</v>
      </c>
      <c r="I150" s="1">
        <v>11480</v>
      </c>
      <c r="J150" s="2">
        <v>0.70089999999999997</v>
      </c>
      <c r="K150" s="2">
        <v>9.7000000000000003E-3</v>
      </c>
      <c r="L150" s="2">
        <v>2.1499999999999998E-2</v>
      </c>
      <c r="M150" s="2">
        <v>5.1400000000000001E-2</v>
      </c>
      <c r="N150" s="2">
        <v>0.1696</v>
      </c>
      <c r="O150" s="2">
        <v>4.6899999999999997E-2</v>
      </c>
      <c r="P150" s="2">
        <v>0.33960000000000001</v>
      </c>
      <c r="Q150" s="2">
        <v>3.61E-2</v>
      </c>
      <c r="R150">
        <v>4.58</v>
      </c>
      <c r="S150" s="1">
        <v>210989</v>
      </c>
      <c r="T150" s="2">
        <v>7.6899999999999996E-2</v>
      </c>
      <c r="U150" s="3">
        <v>33.880000000000003</v>
      </c>
      <c r="V150" s="1">
        <v>68115</v>
      </c>
      <c r="W150" s="2">
        <v>4.1500000000000002E-2</v>
      </c>
      <c r="X150" s="3">
        <v>20.27</v>
      </c>
      <c r="Y150" s="1">
        <v>1688</v>
      </c>
      <c r="Z150" s="2">
        <v>2.3E-3</v>
      </c>
      <c r="AA150" s="3">
        <v>9.1</v>
      </c>
      <c r="AB150">
        <v>0</v>
      </c>
      <c r="AE150" s="1">
        <v>36275</v>
      </c>
      <c r="AF150" s="2">
        <v>4.4900000000000002E-2</v>
      </c>
      <c r="AG150" s="3">
        <v>9.9600000000000009</v>
      </c>
    </row>
    <row r="151" spans="1:33" x14ac:dyDescent="0.75">
      <c r="A151" t="s">
        <v>187</v>
      </c>
      <c r="B151" s="1">
        <v>17409</v>
      </c>
      <c r="C151" s="2">
        <v>0.53290000000000004</v>
      </c>
      <c r="D151" s="2">
        <v>0.46710000000000002</v>
      </c>
      <c r="E151" s="2">
        <v>0</v>
      </c>
      <c r="F151" s="1">
        <v>17035</v>
      </c>
      <c r="G151">
        <v>374</v>
      </c>
      <c r="H151" s="1">
        <v>6034</v>
      </c>
      <c r="I151" s="1">
        <v>11375</v>
      </c>
      <c r="J151" s="2">
        <v>0.87160000000000004</v>
      </c>
      <c r="K151" s="2">
        <v>1E-4</v>
      </c>
      <c r="L151" s="2">
        <v>1E-4</v>
      </c>
      <c r="M151" s="2">
        <v>5.4000000000000003E-3</v>
      </c>
      <c r="N151" s="2">
        <v>0.1198</v>
      </c>
      <c r="O151" s="2">
        <v>3.0999999999999999E-3</v>
      </c>
      <c r="P151" s="2">
        <v>0.33929999999999999</v>
      </c>
      <c r="Q151" s="2">
        <v>6.8199999999999997E-2</v>
      </c>
      <c r="R151">
        <v>4.32</v>
      </c>
      <c r="S151" s="1">
        <v>239415</v>
      </c>
      <c r="T151" s="2">
        <v>8.48E-2</v>
      </c>
      <c r="U151" s="3">
        <v>37.5</v>
      </c>
      <c r="V151" s="1">
        <v>48598</v>
      </c>
      <c r="W151" s="2">
        <v>3.0300000000000001E-2</v>
      </c>
      <c r="X151" s="3">
        <v>21.27</v>
      </c>
      <c r="Y151" s="1">
        <v>36558</v>
      </c>
      <c r="Z151" s="2">
        <v>5.1700000000000003E-2</v>
      </c>
      <c r="AA151" s="3">
        <v>9.4</v>
      </c>
      <c r="AB151" s="1">
        <v>3470</v>
      </c>
      <c r="AC151" s="2">
        <v>2.0999999999999999E-3</v>
      </c>
      <c r="AD151" s="3">
        <v>22.12</v>
      </c>
      <c r="AE151" s="1">
        <v>72274</v>
      </c>
      <c r="AF151" s="2">
        <v>6.6100000000000006E-2</v>
      </c>
      <c r="AG151" s="3">
        <v>14.53</v>
      </c>
    </row>
    <row r="152" spans="1:33" x14ac:dyDescent="0.75">
      <c r="A152" t="s">
        <v>188</v>
      </c>
      <c r="B152" s="1">
        <v>16762</v>
      </c>
      <c r="C152" s="2">
        <v>0.52459999999999996</v>
      </c>
      <c r="D152" s="2">
        <v>0.47539999999999999</v>
      </c>
      <c r="E152" s="2">
        <v>0</v>
      </c>
      <c r="F152" s="1">
        <v>16418</v>
      </c>
      <c r="G152">
        <v>344</v>
      </c>
      <c r="H152" s="1">
        <v>5317</v>
      </c>
      <c r="I152" s="1">
        <v>11445</v>
      </c>
      <c r="J152" s="2">
        <v>0.76319999999999999</v>
      </c>
      <c r="K152" s="2">
        <v>0</v>
      </c>
      <c r="L152" s="2">
        <v>1.35E-2</v>
      </c>
      <c r="M152" s="2">
        <v>5.7999999999999996E-3</v>
      </c>
      <c r="N152" s="2">
        <v>0.1981</v>
      </c>
      <c r="O152" s="2">
        <v>1.9400000000000001E-2</v>
      </c>
      <c r="P152" s="2">
        <v>0.32750000000000001</v>
      </c>
      <c r="Q152" s="2">
        <v>5.9200000000000003E-2</v>
      </c>
      <c r="R152">
        <v>3.93</v>
      </c>
      <c r="S152" s="1">
        <v>214511</v>
      </c>
      <c r="T152" s="2">
        <v>8.6400000000000005E-2</v>
      </c>
      <c r="U152" s="3">
        <v>37.65</v>
      </c>
      <c r="V152" s="1">
        <v>48950</v>
      </c>
      <c r="W152" s="2">
        <v>3.5799999999999998E-2</v>
      </c>
      <c r="X152" s="3">
        <v>20.75</v>
      </c>
      <c r="Y152" s="1">
        <v>15779</v>
      </c>
      <c r="Z152" s="2">
        <v>2.6200000000000001E-2</v>
      </c>
      <c r="AA152" s="3">
        <v>9.14</v>
      </c>
      <c r="AB152">
        <v>0</v>
      </c>
      <c r="AE152" s="1">
        <v>46918</v>
      </c>
      <c r="AF152" s="2">
        <v>4.9200000000000001E-2</v>
      </c>
      <c r="AG152" s="3">
        <v>14.47</v>
      </c>
    </row>
    <row r="153" spans="1:33" x14ac:dyDescent="0.75">
      <c r="A153" t="s">
        <v>189</v>
      </c>
      <c r="B153" s="1">
        <v>16692</v>
      </c>
      <c r="C153" s="2">
        <v>0.59830000000000005</v>
      </c>
      <c r="D153" s="2">
        <v>0.4017</v>
      </c>
      <c r="E153" s="2">
        <v>0</v>
      </c>
      <c r="F153" s="1">
        <v>16505</v>
      </c>
      <c r="G153">
        <v>187</v>
      </c>
      <c r="H153" s="1">
        <v>4699</v>
      </c>
      <c r="I153" s="1">
        <v>11993</v>
      </c>
      <c r="J153" s="2">
        <v>0.66310000000000002</v>
      </c>
      <c r="K153" s="2">
        <v>2.4899999999999999E-2</v>
      </c>
      <c r="L153" s="2">
        <v>1.04E-2</v>
      </c>
      <c r="M153" s="2">
        <v>4.7300000000000002E-2</v>
      </c>
      <c r="N153" s="2">
        <v>0.19289999999999999</v>
      </c>
      <c r="O153" s="2">
        <v>6.1400000000000003E-2</v>
      </c>
      <c r="P153" s="2">
        <v>0.31</v>
      </c>
      <c r="Q153" s="2">
        <v>6.8000000000000005E-2</v>
      </c>
      <c r="R153">
        <v>4.3</v>
      </c>
      <c r="S153" s="1">
        <v>204361</v>
      </c>
      <c r="T153" s="2">
        <v>7.9799999999999996E-2</v>
      </c>
      <c r="U153" s="3">
        <v>35.71</v>
      </c>
      <c r="V153" s="1">
        <v>61801</v>
      </c>
      <c r="W153" s="2">
        <v>4.7899999999999998E-2</v>
      </c>
      <c r="X153" s="3">
        <v>17.98</v>
      </c>
      <c r="Y153" s="1">
        <v>34524</v>
      </c>
      <c r="Z153" s="2">
        <v>5.7299999999999997E-2</v>
      </c>
      <c r="AA153" s="3">
        <v>8.4</v>
      </c>
      <c r="AB153" s="1">
        <v>8167</v>
      </c>
      <c r="AC153" s="2">
        <v>9.5999999999999992E-3</v>
      </c>
      <c r="AD153" s="3">
        <v>11.93</v>
      </c>
      <c r="AE153" s="1">
        <v>19900</v>
      </c>
      <c r="AF153" s="2">
        <v>1.78E-2</v>
      </c>
      <c r="AG153" s="3">
        <v>15.6</v>
      </c>
    </row>
    <row r="154" spans="1:33" x14ac:dyDescent="0.75">
      <c r="A154" t="s">
        <v>190</v>
      </c>
      <c r="B154" s="1">
        <v>16375</v>
      </c>
      <c r="C154" s="2">
        <v>0.66959999999999997</v>
      </c>
      <c r="D154" s="2">
        <v>0.33040000000000003</v>
      </c>
      <c r="E154" s="2">
        <v>0</v>
      </c>
      <c r="F154" s="1">
        <v>16232</v>
      </c>
      <c r="G154">
        <v>143</v>
      </c>
      <c r="H154" s="1">
        <v>6065</v>
      </c>
      <c r="I154" s="1">
        <v>10310</v>
      </c>
      <c r="J154" s="2">
        <v>0.73919999999999997</v>
      </c>
      <c r="K154" s="2">
        <v>1E-3</v>
      </c>
      <c r="L154" s="2">
        <v>5.7000000000000002E-3</v>
      </c>
      <c r="M154" s="2">
        <v>3.3300000000000003E-2</v>
      </c>
      <c r="N154" s="2">
        <v>0.1784</v>
      </c>
      <c r="O154" s="2">
        <v>4.2299999999999997E-2</v>
      </c>
      <c r="P154" s="2">
        <v>0.44400000000000001</v>
      </c>
      <c r="Q154" s="2">
        <v>6.6600000000000006E-2</v>
      </c>
      <c r="R154">
        <v>3.39</v>
      </c>
      <c r="S154" s="1">
        <v>179269</v>
      </c>
      <c r="T154" s="2">
        <v>8.6599999999999996E-2</v>
      </c>
      <c r="U154" s="3">
        <v>37.270000000000003</v>
      </c>
      <c r="V154" s="1">
        <v>82274</v>
      </c>
      <c r="W154" s="2">
        <v>7.6799999999999993E-2</v>
      </c>
      <c r="X154" s="3">
        <v>19.29</v>
      </c>
      <c r="Y154" s="1">
        <v>31092</v>
      </c>
      <c r="Z154" s="2">
        <v>5.9400000000000001E-2</v>
      </c>
      <c r="AA154" s="3">
        <v>9.42</v>
      </c>
      <c r="AB154" s="1">
        <v>19837</v>
      </c>
      <c r="AC154" s="2">
        <v>1.1599999999999999E-2</v>
      </c>
      <c r="AD154" s="3">
        <v>30.88</v>
      </c>
      <c r="AE154" s="1">
        <v>26204</v>
      </c>
      <c r="AF154" s="2">
        <v>2.9399999999999999E-2</v>
      </c>
      <c r="AG154" s="3">
        <v>16.05</v>
      </c>
    </row>
    <row r="155" spans="1:33" x14ac:dyDescent="0.75">
      <c r="A155" t="s">
        <v>191</v>
      </c>
      <c r="B155" s="1">
        <v>16155</v>
      </c>
      <c r="C155" s="2">
        <v>0.65610000000000002</v>
      </c>
      <c r="D155" s="2">
        <v>0.34389999999999998</v>
      </c>
      <c r="E155" s="2">
        <v>0</v>
      </c>
      <c r="F155" s="1">
        <v>16021</v>
      </c>
      <c r="G155">
        <v>134</v>
      </c>
      <c r="H155" s="1">
        <v>6588</v>
      </c>
      <c r="I155" s="1">
        <v>9567</v>
      </c>
      <c r="J155" s="2">
        <v>0.72409999999999997</v>
      </c>
      <c r="K155" s="2">
        <v>6.8999999999999999E-3</v>
      </c>
      <c r="L155" s="2">
        <v>8.0000000000000002E-3</v>
      </c>
      <c r="M155" s="2">
        <v>3.9100000000000003E-2</v>
      </c>
      <c r="N155" s="2">
        <v>0.16769999999999999</v>
      </c>
      <c r="O155" s="2">
        <v>5.4100000000000002E-2</v>
      </c>
      <c r="P155" s="2">
        <v>0.42359999999999998</v>
      </c>
      <c r="Q155" s="2">
        <v>2.12E-2</v>
      </c>
      <c r="R155">
        <v>5.12</v>
      </c>
      <c r="S155" s="1">
        <v>166943</v>
      </c>
      <c r="T155" s="2">
        <v>5.7000000000000002E-2</v>
      </c>
      <c r="U155" s="3">
        <v>35.4</v>
      </c>
      <c r="V155" s="1">
        <v>29155</v>
      </c>
      <c r="W155" s="2">
        <v>1.9400000000000001E-2</v>
      </c>
      <c r="X155" s="3">
        <v>18.18</v>
      </c>
      <c r="Y155" s="1">
        <v>14354</v>
      </c>
      <c r="Z155" s="2">
        <v>2.06E-2</v>
      </c>
      <c r="AA155" s="3">
        <v>8.42</v>
      </c>
      <c r="AB155" s="1">
        <v>3264</v>
      </c>
      <c r="AC155" s="2">
        <v>3.3E-3</v>
      </c>
      <c r="AD155" s="3">
        <v>11.94</v>
      </c>
      <c r="AE155" s="1">
        <v>19641</v>
      </c>
      <c r="AF155" s="2">
        <v>1.8100000000000002E-2</v>
      </c>
      <c r="AG155" s="3">
        <v>13.1</v>
      </c>
    </row>
    <row r="156" spans="1:33" x14ac:dyDescent="0.75">
      <c r="A156" t="s">
        <v>192</v>
      </c>
      <c r="B156" s="1">
        <v>16100</v>
      </c>
      <c r="C156" s="2">
        <v>0.4199</v>
      </c>
      <c r="D156" s="2">
        <v>0.58009999999999995</v>
      </c>
      <c r="E156" s="2">
        <v>0</v>
      </c>
      <c r="F156" s="1">
        <v>15886</v>
      </c>
      <c r="G156">
        <v>214</v>
      </c>
      <c r="H156" s="1">
        <v>3146</v>
      </c>
      <c r="I156" s="1">
        <v>12954</v>
      </c>
      <c r="J156" s="2">
        <v>0.64670000000000005</v>
      </c>
      <c r="K156" s="2">
        <v>2.5499999999999998E-2</v>
      </c>
      <c r="L156" s="2">
        <v>1.2E-2</v>
      </c>
      <c r="M156" s="2">
        <v>2.6599999999999999E-2</v>
      </c>
      <c r="N156" s="2">
        <v>0.22489999999999999</v>
      </c>
      <c r="O156" s="2">
        <v>6.4299999999999996E-2</v>
      </c>
      <c r="P156" s="2">
        <v>0.2248</v>
      </c>
      <c r="Q156" s="2">
        <v>1.78E-2</v>
      </c>
      <c r="R156">
        <v>4.93</v>
      </c>
      <c r="S156" s="1">
        <v>278802</v>
      </c>
      <c r="T156" s="2">
        <v>8.4500000000000006E-2</v>
      </c>
      <c r="U156" s="3">
        <v>41.58</v>
      </c>
      <c r="V156" s="1">
        <v>74320</v>
      </c>
      <c r="W156" s="2">
        <v>4.4600000000000001E-2</v>
      </c>
      <c r="X156" s="3">
        <v>21</v>
      </c>
      <c r="Y156" s="1">
        <v>7861</v>
      </c>
      <c r="Z156" s="2">
        <v>1.12E-2</v>
      </c>
      <c r="AA156" s="3">
        <v>8.85</v>
      </c>
      <c r="AB156">
        <v>0</v>
      </c>
      <c r="AE156" s="1">
        <v>27528</v>
      </c>
      <c r="AF156" s="2">
        <v>2.53E-2</v>
      </c>
      <c r="AG156" s="3">
        <v>13.73</v>
      </c>
    </row>
    <row r="157" spans="1:33" x14ac:dyDescent="0.75">
      <c r="A157" t="s">
        <v>193</v>
      </c>
      <c r="B157" s="1">
        <v>15359</v>
      </c>
      <c r="C157" s="2">
        <v>0.56030000000000002</v>
      </c>
      <c r="D157" s="2">
        <v>0.43969999999999998</v>
      </c>
      <c r="E157" s="2">
        <v>0</v>
      </c>
      <c r="F157" s="1">
        <v>15052</v>
      </c>
      <c r="G157">
        <v>307</v>
      </c>
      <c r="H157" s="1">
        <v>4392</v>
      </c>
      <c r="I157" s="1">
        <v>10967</v>
      </c>
      <c r="J157" s="2">
        <v>0.64390000000000003</v>
      </c>
      <c r="K157" s="2">
        <v>0</v>
      </c>
      <c r="L157" s="2">
        <v>4.3E-3</v>
      </c>
      <c r="M157" s="2">
        <v>7.6100000000000001E-2</v>
      </c>
      <c r="N157" s="2">
        <v>0.2482</v>
      </c>
      <c r="O157" s="2">
        <v>2.75E-2</v>
      </c>
      <c r="P157" s="2">
        <v>0.35239999999999999</v>
      </c>
      <c r="Q157" s="2">
        <v>7.3800000000000004E-2</v>
      </c>
      <c r="R157">
        <v>4</v>
      </c>
      <c r="S157" s="1">
        <v>301111</v>
      </c>
      <c r="T157" s="2">
        <v>0.11990000000000001</v>
      </c>
      <c r="U157" s="3">
        <v>40.840000000000003</v>
      </c>
      <c r="V157" s="1">
        <v>70685</v>
      </c>
      <c r="W157" s="2">
        <v>5.2999999999999999E-2</v>
      </c>
      <c r="X157" s="3">
        <v>21.7</v>
      </c>
      <c r="Y157" s="1">
        <v>11293</v>
      </c>
      <c r="Z157" s="2">
        <v>2.1399999999999999E-2</v>
      </c>
      <c r="AA157" s="3">
        <v>8.57</v>
      </c>
      <c r="AB157">
        <v>901</v>
      </c>
      <c r="AC157" s="2">
        <v>1.2999999999999999E-3</v>
      </c>
      <c r="AD157" s="3">
        <v>11.58</v>
      </c>
      <c r="AE157" s="1">
        <v>39263</v>
      </c>
      <c r="AF157" s="2">
        <v>4.5199999999999997E-2</v>
      </c>
      <c r="AG157" s="3">
        <v>14.12</v>
      </c>
    </row>
    <row r="158" spans="1:33" x14ac:dyDescent="0.75">
      <c r="A158" t="s">
        <v>194</v>
      </c>
      <c r="B158" s="1">
        <v>15233</v>
      </c>
      <c r="C158" s="2">
        <v>0.56669999999999998</v>
      </c>
      <c r="D158" s="2">
        <v>0.43330000000000002</v>
      </c>
      <c r="E158" s="2">
        <v>0</v>
      </c>
      <c r="F158" s="1">
        <v>14208</v>
      </c>
      <c r="G158" s="1">
        <v>1025</v>
      </c>
      <c r="H158" s="1">
        <v>4097</v>
      </c>
      <c r="I158" s="1">
        <v>11136</v>
      </c>
      <c r="J158" s="2">
        <v>0.44940000000000002</v>
      </c>
      <c r="K158" s="2">
        <v>0</v>
      </c>
      <c r="L158" s="2">
        <v>6.1999999999999998E-3</v>
      </c>
      <c r="M158" s="2">
        <v>3.2500000000000001E-2</v>
      </c>
      <c r="N158" s="2">
        <v>0.46339999999999998</v>
      </c>
      <c r="O158" s="2">
        <v>4.8399999999999999E-2</v>
      </c>
      <c r="P158" s="2">
        <v>0.45829999999999999</v>
      </c>
      <c r="Q158" s="2">
        <v>1.84E-2</v>
      </c>
      <c r="R158">
        <v>5.0999999999999996</v>
      </c>
      <c r="S158" s="1">
        <v>298066</v>
      </c>
      <c r="T158" s="2">
        <v>8.2799999999999999E-2</v>
      </c>
      <c r="U158" s="3">
        <v>46.32</v>
      </c>
      <c r="V158" s="1">
        <v>82465</v>
      </c>
      <c r="W158" s="2">
        <v>4.8599999999999997E-2</v>
      </c>
      <c r="X158" s="3">
        <v>21.84</v>
      </c>
      <c r="Y158" s="1">
        <v>27839</v>
      </c>
      <c r="Z158" s="2">
        <v>4.24E-2</v>
      </c>
      <c r="AA158" s="3">
        <v>8.44</v>
      </c>
      <c r="AB158" s="1">
        <v>2051</v>
      </c>
      <c r="AC158" s="2">
        <v>2.3E-3</v>
      </c>
      <c r="AD158" s="3">
        <v>11.46</v>
      </c>
      <c r="AE158" s="1">
        <v>60386</v>
      </c>
      <c r="AF158" s="2">
        <v>7.2300000000000003E-2</v>
      </c>
      <c r="AG158" s="3">
        <v>10.74</v>
      </c>
    </row>
    <row r="159" spans="1:33" x14ac:dyDescent="0.75">
      <c r="A159" t="s">
        <v>195</v>
      </c>
      <c r="B159" s="1">
        <v>15145</v>
      </c>
      <c r="C159" s="2">
        <v>1</v>
      </c>
      <c r="D159" s="2">
        <v>0</v>
      </c>
      <c r="E159" s="2">
        <v>0</v>
      </c>
      <c r="F159" s="1">
        <v>4235</v>
      </c>
      <c r="G159" s="1">
        <v>10910</v>
      </c>
      <c r="H159">
        <v>998</v>
      </c>
      <c r="I159" s="1">
        <v>14147</v>
      </c>
      <c r="J159" s="2">
        <v>0.66320000000000001</v>
      </c>
      <c r="K159" s="2">
        <v>8.5000000000000006E-3</v>
      </c>
      <c r="L159" s="2">
        <v>3.8999999999999998E-3</v>
      </c>
      <c r="M159" s="2">
        <v>1.5299999999999999E-2</v>
      </c>
      <c r="N159" s="2">
        <v>0.1794</v>
      </c>
      <c r="O159" s="2">
        <v>0.12970000000000001</v>
      </c>
      <c r="P159" s="2">
        <v>0.1076</v>
      </c>
      <c r="Q159" s="2">
        <v>9.2899999999999996E-2</v>
      </c>
      <c r="R159">
        <v>4.1399999999999997</v>
      </c>
      <c r="S159" s="1">
        <v>269304</v>
      </c>
      <c r="T159" s="2">
        <v>0.12770000000000001</v>
      </c>
      <c r="U159" s="3">
        <v>33.64</v>
      </c>
      <c r="V159" s="1">
        <v>324247</v>
      </c>
      <c r="W159" s="2">
        <v>0.30919999999999997</v>
      </c>
      <c r="X159" s="3">
        <v>16.72</v>
      </c>
      <c r="Y159" s="1">
        <v>134351</v>
      </c>
      <c r="Z159" s="2">
        <v>0.2306</v>
      </c>
      <c r="AA159" s="3">
        <v>9.2899999999999991</v>
      </c>
      <c r="AB159" s="1">
        <v>31725</v>
      </c>
      <c r="AC159" s="2">
        <v>3.9199999999999999E-2</v>
      </c>
      <c r="AD159" s="3">
        <v>12.92</v>
      </c>
      <c r="AE159" s="1">
        <v>13000</v>
      </c>
      <c r="AF159" s="2">
        <v>1.0699999999999999E-2</v>
      </c>
      <c r="AG159" s="3">
        <v>19.39</v>
      </c>
    </row>
    <row r="160" spans="1:33" x14ac:dyDescent="0.75">
      <c r="A160" t="s">
        <v>196</v>
      </c>
      <c r="B160" s="1">
        <v>15130</v>
      </c>
      <c r="C160" s="2">
        <v>0.53420000000000001</v>
      </c>
      <c r="D160" s="2">
        <v>0.42009999999999997</v>
      </c>
      <c r="E160" s="2">
        <v>4.5699999999999998E-2</v>
      </c>
      <c r="F160" s="1">
        <v>14745</v>
      </c>
      <c r="G160">
        <v>385</v>
      </c>
      <c r="H160" s="1">
        <v>3740</v>
      </c>
      <c r="I160" s="1">
        <v>11390</v>
      </c>
      <c r="J160" s="2">
        <v>0.49209999999999998</v>
      </c>
      <c r="K160" s="2">
        <v>0</v>
      </c>
      <c r="L160" s="2">
        <v>5.1999999999999998E-3</v>
      </c>
      <c r="M160" s="2">
        <v>3.1E-2</v>
      </c>
      <c r="N160" s="2">
        <v>0.43419999999999997</v>
      </c>
      <c r="O160" s="2">
        <v>3.7499999999999999E-2</v>
      </c>
      <c r="P160" s="2">
        <v>0.4</v>
      </c>
      <c r="Q160" s="2">
        <v>6.1800000000000001E-2</v>
      </c>
      <c r="R160">
        <v>4.38</v>
      </c>
      <c r="S160" s="1">
        <v>265049</v>
      </c>
      <c r="T160" s="2">
        <v>8.8099999999999998E-2</v>
      </c>
      <c r="U160" s="3">
        <v>45.39</v>
      </c>
      <c r="V160" s="1">
        <v>53572</v>
      </c>
      <c r="W160" s="2">
        <v>3.6499999999999998E-2</v>
      </c>
      <c r="X160" s="3">
        <v>22.15</v>
      </c>
      <c r="Y160" s="1">
        <v>37245</v>
      </c>
      <c r="Z160" s="2">
        <v>6.3100000000000003E-2</v>
      </c>
      <c r="AA160" s="3">
        <v>8.91</v>
      </c>
      <c r="AB160" s="1">
        <v>3899</v>
      </c>
      <c r="AC160" s="2">
        <v>4.8999999999999998E-3</v>
      </c>
      <c r="AD160" s="3">
        <v>12.07</v>
      </c>
      <c r="AE160" s="1">
        <v>85720</v>
      </c>
      <c r="AF160" s="2">
        <v>7.4999999999999997E-2</v>
      </c>
      <c r="AG160" s="3">
        <v>17.239999999999998</v>
      </c>
    </row>
    <row r="161" spans="1:33" x14ac:dyDescent="0.75">
      <c r="A161" t="s">
        <v>197</v>
      </c>
      <c r="B161" s="1">
        <v>15091</v>
      </c>
      <c r="C161" s="2">
        <v>0.65620000000000001</v>
      </c>
      <c r="D161" s="2">
        <v>0.34379999999999999</v>
      </c>
      <c r="E161" s="2">
        <v>0</v>
      </c>
      <c r="F161" s="1">
        <v>14859</v>
      </c>
      <c r="G161">
        <v>232</v>
      </c>
      <c r="H161" s="1">
        <v>5913</v>
      </c>
      <c r="I161" s="1">
        <v>9178</v>
      </c>
      <c r="J161" s="2">
        <v>0.73650000000000004</v>
      </c>
      <c r="K161" s="2">
        <v>1E-4</v>
      </c>
      <c r="L161" s="2">
        <v>8.0000000000000002E-3</v>
      </c>
      <c r="M161" s="2">
        <v>4.53E-2</v>
      </c>
      <c r="N161" s="2">
        <v>0.17630000000000001</v>
      </c>
      <c r="O161" s="2">
        <v>3.39E-2</v>
      </c>
      <c r="P161" s="2">
        <v>0.42480000000000001</v>
      </c>
      <c r="Q161" s="2">
        <v>8.1900000000000001E-2</v>
      </c>
      <c r="R161">
        <v>4.04</v>
      </c>
      <c r="S161" s="1">
        <v>189966</v>
      </c>
      <c r="T161" s="2">
        <v>0.10199999999999999</v>
      </c>
      <c r="U161" s="3">
        <v>30.51</v>
      </c>
      <c r="V161" s="1">
        <v>49730</v>
      </c>
      <c r="W161" s="2">
        <v>4.07E-2</v>
      </c>
      <c r="X161" s="3">
        <v>20.03</v>
      </c>
      <c r="Y161" s="1">
        <v>22592</v>
      </c>
      <c r="Z161" s="2">
        <v>4.2099999999999999E-2</v>
      </c>
      <c r="AA161" s="3">
        <v>8.7899999999999991</v>
      </c>
      <c r="AB161" s="1">
        <v>5157</v>
      </c>
      <c r="AC161" s="2">
        <v>6.1999999999999998E-3</v>
      </c>
      <c r="AD161" s="3">
        <v>13.59</v>
      </c>
      <c r="AE161" s="1">
        <v>41113</v>
      </c>
      <c r="AF161" s="2">
        <v>5.0299999999999997E-2</v>
      </c>
      <c r="AG161" s="3">
        <v>13.39</v>
      </c>
    </row>
    <row r="162" spans="1:33" x14ac:dyDescent="0.75">
      <c r="A162" t="s">
        <v>198</v>
      </c>
      <c r="B162" s="1">
        <v>14871</v>
      </c>
      <c r="C162" s="2">
        <v>0.73050000000000004</v>
      </c>
      <c r="D162" s="2">
        <v>0.26950000000000002</v>
      </c>
      <c r="E162" s="2">
        <v>0</v>
      </c>
      <c r="F162" s="1">
        <v>14737</v>
      </c>
      <c r="G162">
        <v>134</v>
      </c>
      <c r="H162" s="1">
        <v>6076</v>
      </c>
      <c r="I162" s="1">
        <v>8795</v>
      </c>
      <c r="J162" s="2">
        <v>0.7903</v>
      </c>
      <c r="K162" s="2">
        <v>1.2999999999999999E-3</v>
      </c>
      <c r="L162" s="2">
        <v>3.0999999999999999E-3</v>
      </c>
      <c r="M162" s="2">
        <v>2.3199999999999998E-2</v>
      </c>
      <c r="N162" s="2">
        <v>0.15049999999999999</v>
      </c>
      <c r="O162" s="2">
        <v>3.1600000000000003E-2</v>
      </c>
      <c r="P162" s="2">
        <v>0.39429999999999998</v>
      </c>
      <c r="Q162" s="2">
        <v>1.3899999999999999E-2</v>
      </c>
      <c r="R162">
        <v>4.38</v>
      </c>
      <c r="S162" s="1">
        <v>216734</v>
      </c>
      <c r="T162" s="2">
        <v>0.1129</v>
      </c>
      <c r="U162" s="3">
        <v>29.45</v>
      </c>
      <c r="V162" s="1">
        <v>35275</v>
      </c>
      <c r="W162" s="2">
        <v>2.9399999999999999E-2</v>
      </c>
      <c r="X162" s="3">
        <v>18.399999999999999</v>
      </c>
      <c r="Y162" s="1">
        <v>16473</v>
      </c>
      <c r="Z162" s="2">
        <v>2.9499999999999998E-2</v>
      </c>
      <c r="AA162" s="3">
        <v>8.56</v>
      </c>
      <c r="AB162" s="1">
        <v>24191</v>
      </c>
      <c r="AC162" s="2">
        <v>1.3899999999999999E-2</v>
      </c>
      <c r="AD162" s="3">
        <v>26.76</v>
      </c>
      <c r="AE162" s="1">
        <v>26737</v>
      </c>
      <c r="AF162" s="2">
        <v>2.5000000000000001E-2</v>
      </c>
      <c r="AG162" s="3">
        <v>16.41</v>
      </c>
    </row>
    <row r="163" spans="1:33" x14ac:dyDescent="0.75">
      <c r="A163" t="s">
        <v>199</v>
      </c>
      <c r="B163" s="1">
        <v>14747</v>
      </c>
      <c r="C163" s="2">
        <v>0.55000000000000004</v>
      </c>
      <c r="D163" s="2">
        <v>0.45</v>
      </c>
      <c r="E163" s="2">
        <v>0</v>
      </c>
      <c r="F163" s="1">
        <v>14416</v>
      </c>
      <c r="G163">
        <v>331</v>
      </c>
      <c r="H163" s="1">
        <v>5049</v>
      </c>
      <c r="I163" s="1">
        <v>9698</v>
      </c>
      <c r="J163" s="2">
        <v>0.78859999999999997</v>
      </c>
      <c r="K163" s="2">
        <v>0</v>
      </c>
      <c r="L163" s="2">
        <v>0</v>
      </c>
      <c r="M163" s="2">
        <v>2.9600000000000001E-2</v>
      </c>
      <c r="N163" s="2">
        <v>0.14649999999999999</v>
      </c>
      <c r="O163" s="2">
        <v>3.5200000000000002E-2</v>
      </c>
      <c r="P163" s="2">
        <v>0.35649999999999998</v>
      </c>
      <c r="Q163" s="2">
        <v>4.7100000000000003E-2</v>
      </c>
      <c r="R163">
        <v>3.85</v>
      </c>
      <c r="S163" s="1">
        <v>174738</v>
      </c>
      <c r="T163" s="2">
        <v>7.8200000000000006E-2</v>
      </c>
      <c r="U163" s="3">
        <v>39.36</v>
      </c>
      <c r="V163" s="1">
        <v>57059</v>
      </c>
      <c r="W163" s="2">
        <v>5.0099999999999999E-2</v>
      </c>
      <c r="X163" s="3">
        <v>20.059999999999999</v>
      </c>
      <c r="Y163" s="1">
        <v>14902</v>
      </c>
      <c r="Z163" s="2">
        <v>2.86E-2</v>
      </c>
      <c r="AA163" s="3">
        <v>9.18</v>
      </c>
      <c r="AB163" s="1">
        <v>9072</v>
      </c>
      <c r="AC163" s="2">
        <v>1.24E-2</v>
      </c>
      <c r="AD163" s="3">
        <v>12.9</v>
      </c>
      <c r="AE163" s="1">
        <v>48531</v>
      </c>
      <c r="AF163" s="2">
        <v>5.5300000000000002E-2</v>
      </c>
      <c r="AG163" s="3">
        <v>15.45</v>
      </c>
    </row>
    <row r="164" spans="1:33" x14ac:dyDescent="0.75">
      <c r="A164" t="s">
        <v>200</v>
      </c>
      <c r="B164" s="1">
        <v>14284</v>
      </c>
      <c r="C164" s="2">
        <v>0.53029999999999999</v>
      </c>
      <c r="D164" s="2">
        <v>0.46970000000000001</v>
      </c>
      <c r="E164" s="2">
        <v>0</v>
      </c>
      <c r="F164" s="1">
        <v>14187</v>
      </c>
      <c r="G164">
        <v>97</v>
      </c>
      <c r="H164" s="1">
        <v>5339</v>
      </c>
      <c r="I164" s="1">
        <v>8945</v>
      </c>
      <c r="J164" s="2">
        <v>0.73260000000000003</v>
      </c>
      <c r="K164" s="2">
        <v>0</v>
      </c>
      <c r="L164" s="2">
        <v>1E-4</v>
      </c>
      <c r="M164" s="2">
        <v>2.5000000000000001E-2</v>
      </c>
      <c r="N164" s="2">
        <v>0.19309999999999999</v>
      </c>
      <c r="O164" s="2">
        <v>4.9200000000000001E-2</v>
      </c>
      <c r="P164" s="2">
        <v>0.35360000000000003</v>
      </c>
      <c r="Q164" s="2">
        <v>2.2499999999999999E-2</v>
      </c>
      <c r="R164">
        <v>4.28</v>
      </c>
      <c r="S164" s="1">
        <v>172804</v>
      </c>
      <c r="T164" s="2">
        <v>7.3800000000000004E-2</v>
      </c>
      <c r="U164" s="3">
        <v>38.26</v>
      </c>
      <c r="V164" s="1">
        <v>37614</v>
      </c>
      <c r="W164" s="2">
        <v>3.1E-2</v>
      </c>
      <c r="X164" s="3">
        <v>19.809999999999999</v>
      </c>
      <c r="Y164" s="1">
        <v>31863</v>
      </c>
      <c r="Z164" s="2">
        <v>5.6500000000000002E-2</v>
      </c>
      <c r="AA164" s="3">
        <v>9.2100000000000009</v>
      </c>
      <c r="AB164" s="1">
        <v>14811</v>
      </c>
      <c r="AC164" s="2">
        <v>2.0199999999999999E-2</v>
      </c>
      <c r="AD164" s="3">
        <v>12.01</v>
      </c>
      <c r="AE164" s="1">
        <v>29003</v>
      </c>
      <c r="AF164" s="2">
        <v>2.9899999999999999E-2</v>
      </c>
      <c r="AG164" s="3">
        <v>15.86</v>
      </c>
    </row>
    <row r="165" spans="1:33" x14ac:dyDescent="0.75">
      <c r="A165" t="s">
        <v>201</v>
      </c>
      <c r="B165" s="1">
        <v>13904</v>
      </c>
      <c r="C165" s="2">
        <v>0.62629999999999997</v>
      </c>
      <c r="D165" s="2">
        <v>0.37369999999999998</v>
      </c>
      <c r="E165" s="2">
        <v>0</v>
      </c>
      <c r="F165" s="1">
        <v>13648</v>
      </c>
      <c r="G165">
        <v>256</v>
      </c>
      <c r="H165" s="1">
        <v>3404</v>
      </c>
      <c r="I165" s="1">
        <v>10500</v>
      </c>
      <c r="J165" s="2">
        <v>0.64270000000000005</v>
      </c>
      <c r="K165" s="2">
        <v>5.0099999999999999E-2</v>
      </c>
      <c r="L165" s="2">
        <v>8.6999999999999994E-3</v>
      </c>
      <c r="M165" s="2">
        <v>8.0500000000000002E-2</v>
      </c>
      <c r="N165" s="2">
        <v>0.16009999999999999</v>
      </c>
      <c r="O165" s="2">
        <v>5.8000000000000003E-2</v>
      </c>
      <c r="P165" s="2">
        <v>0.34320000000000001</v>
      </c>
      <c r="Q165" s="2">
        <v>4.7E-2</v>
      </c>
      <c r="R165">
        <v>4.79</v>
      </c>
      <c r="S165" s="1">
        <v>197147</v>
      </c>
      <c r="T165" s="2">
        <v>8.7599999999999997E-2</v>
      </c>
      <c r="U165" s="3">
        <v>33.78</v>
      </c>
      <c r="V165" s="1">
        <v>66194</v>
      </c>
      <c r="W165" s="2">
        <v>5.3499999999999999E-2</v>
      </c>
      <c r="X165" s="3">
        <v>18.559999999999999</v>
      </c>
      <c r="Y165" s="1">
        <v>6971</v>
      </c>
      <c r="Z165" s="2">
        <v>1.2800000000000001E-2</v>
      </c>
      <c r="AA165" s="3">
        <v>8.19</v>
      </c>
      <c r="AB165" s="1">
        <v>14258</v>
      </c>
      <c r="AC165" s="2">
        <v>1.6199999999999999E-2</v>
      </c>
      <c r="AD165" s="3">
        <v>13.21</v>
      </c>
      <c r="AE165" s="1">
        <v>17826</v>
      </c>
      <c r="AF165" s="2">
        <v>3.2300000000000002E-2</v>
      </c>
      <c r="AG165" s="3">
        <v>8.2799999999999994</v>
      </c>
    </row>
    <row r="166" spans="1:33" x14ac:dyDescent="0.75">
      <c r="A166" t="s">
        <v>202</v>
      </c>
      <c r="B166" s="1">
        <v>13624</v>
      </c>
      <c r="C166" s="2">
        <v>0.53480000000000005</v>
      </c>
      <c r="D166" s="2">
        <v>0.4652</v>
      </c>
      <c r="E166" s="2">
        <v>0</v>
      </c>
      <c r="F166" s="1">
        <v>13540</v>
      </c>
      <c r="G166">
        <v>84</v>
      </c>
      <c r="H166" s="1">
        <v>2367</v>
      </c>
      <c r="I166" s="1">
        <v>11257</v>
      </c>
      <c r="J166" s="2">
        <v>0.81930000000000003</v>
      </c>
      <c r="K166" s="2">
        <v>1.8E-3</v>
      </c>
      <c r="L166" s="2">
        <v>4.3E-3</v>
      </c>
      <c r="M166" s="2">
        <v>3.0099999999999998E-2</v>
      </c>
      <c r="N166" s="2">
        <v>0.12180000000000001</v>
      </c>
      <c r="O166" s="2">
        <v>2.2800000000000001E-2</v>
      </c>
      <c r="P166" s="2">
        <v>0.27729999999999999</v>
      </c>
      <c r="Q166" s="2">
        <v>7.8799999999999995E-2</v>
      </c>
      <c r="R166">
        <v>3.96</v>
      </c>
      <c r="S166" s="1">
        <v>180872</v>
      </c>
      <c r="T166" s="2">
        <v>9.5100000000000004E-2</v>
      </c>
      <c r="U166" s="3">
        <v>35.26</v>
      </c>
      <c r="V166" s="1">
        <v>35331</v>
      </c>
      <c r="W166" s="2">
        <v>2.9700000000000001E-2</v>
      </c>
      <c r="X166" s="3">
        <v>22.09</v>
      </c>
      <c r="Y166" s="1">
        <v>36501</v>
      </c>
      <c r="Z166" s="2">
        <v>7.7899999999999997E-2</v>
      </c>
      <c r="AA166" s="3">
        <v>8.69</v>
      </c>
      <c r="AB166" s="1">
        <v>47999</v>
      </c>
      <c r="AC166" s="2">
        <v>3.3000000000000002E-2</v>
      </c>
      <c r="AD166" s="3">
        <v>27.01</v>
      </c>
      <c r="AE166" s="1">
        <v>16684</v>
      </c>
      <c r="AF166" s="2">
        <v>2.3E-2</v>
      </c>
      <c r="AG166" s="3">
        <v>13.43</v>
      </c>
    </row>
    <row r="167" spans="1:33" x14ac:dyDescent="0.75">
      <c r="A167" t="s">
        <v>203</v>
      </c>
      <c r="B167" s="1">
        <v>13578</v>
      </c>
      <c r="C167" s="2">
        <v>0.60409999999999997</v>
      </c>
      <c r="D167" s="2">
        <v>0.39589999999999997</v>
      </c>
      <c r="E167" s="2">
        <v>0</v>
      </c>
      <c r="F167" s="1">
        <v>13466</v>
      </c>
      <c r="G167">
        <v>112</v>
      </c>
      <c r="H167" s="1">
        <v>4484</v>
      </c>
      <c r="I167" s="1">
        <v>9094</v>
      </c>
      <c r="J167" s="2">
        <v>0.87790000000000001</v>
      </c>
      <c r="K167" s="2">
        <v>1.8E-3</v>
      </c>
      <c r="L167" s="2">
        <v>2.0000000000000001E-4</v>
      </c>
      <c r="M167" s="2">
        <v>1E-3</v>
      </c>
      <c r="N167" s="2">
        <v>0.1094</v>
      </c>
      <c r="O167" s="2">
        <v>9.7999999999999997E-3</v>
      </c>
      <c r="P167" s="2">
        <v>0.46910000000000002</v>
      </c>
      <c r="Q167" s="2">
        <v>1.72E-2</v>
      </c>
      <c r="R167">
        <v>3.74</v>
      </c>
      <c r="S167" s="1">
        <v>136281</v>
      </c>
      <c r="T167" s="2">
        <v>8.9099999999999999E-2</v>
      </c>
      <c r="U167" s="3">
        <v>30.1</v>
      </c>
      <c r="V167" s="1">
        <v>22009</v>
      </c>
      <c r="W167" s="2">
        <v>2.5700000000000001E-2</v>
      </c>
      <c r="X167" s="3">
        <v>16.84</v>
      </c>
      <c r="Y167" s="1">
        <v>6910</v>
      </c>
      <c r="Z167" s="2">
        <v>1.49E-2</v>
      </c>
      <c r="AA167" s="3">
        <v>9.09</v>
      </c>
      <c r="AB167" s="1">
        <v>4440</v>
      </c>
      <c r="AC167" s="2">
        <v>6.7000000000000002E-3</v>
      </c>
      <c r="AD167" s="3">
        <v>13.12</v>
      </c>
      <c r="AE167" s="1">
        <v>24163</v>
      </c>
      <c r="AF167" s="2">
        <v>2.3900000000000001E-2</v>
      </c>
      <c r="AG167" s="3">
        <v>19.91</v>
      </c>
    </row>
    <row r="168" spans="1:33" x14ac:dyDescent="0.75">
      <c r="A168" t="s">
        <v>204</v>
      </c>
      <c r="B168" s="1">
        <v>13140</v>
      </c>
      <c r="C168" s="2">
        <v>0.7288</v>
      </c>
      <c r="D168" s="2">
        <v>0.2712</v>
      </c>
      <c r="E168" s="2">
        <v>0</v>
      </c>
      <c r="F168" s="1">
        <v>12966</v>
      </c>
      <c r="G168">
        <v>174</v>
      </c>
      <c r="H168" s="1">
        <v>3620</v>
      </c>
      <c r="I168" s="1">
        <v>9520</v>
      </c>
      <c r="J168" s="2">
        <v>0.77700000000000002</v>
      </c>
      <c r="K168" s="2">
        <v>1.5E-3</v>
      </c>
      <c r="L168" s="2">
        <v>2.5000000000000001E-3</v>
      </c>
      <c r="M168" s="2">
        <v>2.2800000000000001E-2</v>
      </c>
      <c r="N168" s="2">
        <v>0.17449999999999999</v>
      </c>
      <c r="O168" s="2">
        <v>2.1600000000000001E-2</v>
      </c>
      <c r="P168" s="2">
        <v>0.36820000000000003</v>
      </c>
      <c r="Q168" s="2">
        <v>2.1700000000000001E-2</v>
      </c>
      <c r="R168">
        <v>4.72</v>
      </c>
      <c r="S168" s="1">
        <v>201854</v>
      </c>
      <c r="T168" s="2">
        <v>8.8800000000000004E-2</v>
      </c>
      <c r="U168" s="3">
        <v>36.630000000000003</v>
      </c>
      <c r="V168" s="1">
        <v>53136</v>
      </c>
      <c r="W168" s="2">
        <v>5.5E-2</v>
      </c>
      <c r="X168" s="3">
        <v>15.58</v>
      </c>
      <c r="Y168" s="1">
        <v>25512</v>
      </c>
      <c r="Z168" s="2">
        <v>4.5999999999999999E-2</v>
      </c>
      <c r="AA168" s="3">
        <v>8.9499999999999993</v>
      </c>
      <c r="AB168">
        <v>0</v>
      </c>
      <c r="AE168" s="1">
        <v>62475</v>
      </c>
      <c r="AF168" s="2">
        <v>0.105</v>
      </c>
      <c r="AG168" s="3">
        <v>9.59</v>
      </c>
    </row>
    <row r="169" spans="1:33" x14ac:dyDescent="0.75">
      <c r="A169" t="s">
        <v>205</v>
      </c>
      <c r="B169" s="1">
        <v>12910</v>
      </c>
      <c r="C169" s="2">
        <v>0.50609999999999999</v>
      </c>
      <c r="D169" s="2">
        <v>0.49390000000000001</v>
      </c>
      <c r="E169" s="2">
        <v>0</v>
      </c>
      <c r="F169" s="1">
        <v>12815</v>
      </c>
      <c r="G169">
        <v>95</v>
      </c>
      <c r="H169" s="1">
        <v>3990</v>
      </c>
      <c r="I169" s="1">
        <v>8920</v>
      </c>
      <c r="J169" s="2">
        <v>0.74380000000000002</v>
      </c>
      <c r="K169" s="2">
        <v>2.52E-2</v>
      </c>
      <c r="L169" s="2">
        <v>8.6E-3</v>
      </c>
      <c r="M169" s="2">
        <v>3.8399999999999997E-2</v>
      </c>
      <c r="N169" s="2">
        <v>0.14019999999999999</v>
      </c>
      <c r="O169" s="2">
        <v>4.3799999999999999E-2</v>
      </c>
      <c r="P169" s="2">
        <v>0.25779999999999997</v>
      </c>
      <c r="Q169" s="2">
        <v>8.3299999999999999E-2</v>
      </c>
      <c r="R169">
        <v>5.59</v>
      </c>
      <c r="S169" s="1">
        <v>176005</v>
      </c>
      <c r="T169" s="2">
        <v>7.7100000000000002E-2</v>
      </c>
      <c r="U169" s="3">
        <v>31.64</v>
      </c>
      <c r="V169" s="1">
        <v>48936</v>
      </c>
      <c r="W169" s="2">
        <v>3.6900000000000002E-2</v>
      </c>
      <c r="X169" s="3">
        <v>18.350000000000001</v>
      </c>
      <c r="Y169" s="1">
        <v>12238</v>
      </c>
      <c r="Z169" s="2">
        <v>0.02</v>
      </c>
      <c r="AA169" s="3">
        <v>8.4700000000000006</v>
      </c>
      <c r="AB169" s="1">
        <v>3081</v>
      </c>
      <c r="AC169" s="2">
        <v>3.0999999999999999E-3</v>
      </c>
      <c r="AD169" s="3">
        <v>13.74</v>
      </c>
      <c r="AE169" s="1">
        <v>16863</v>
      </c>
      <c r="AF169" s="2">
        <v>1.8800000000000001E-2</v>
      </c>
      <c r="AG169" s="3">
        <v>12.46</v>
      </c>
    </row>
    <row r="170" spans="1:33" x14ac:dyDescent="0.75">
      <c r="A170" t="s">
        <v>206</v>
      </c>
      <c r="B170" s="1">
        <v>12316</v>
      </c>
      <c r="C170" s="2">
        <v>0.64439999999999997</v>
      </c>
      <c r="D170" s="2">
        <v>0.35560000000000003</v>
      </c>
      <c r="E170" s="2">
        <v>0</v>
      </c>
      <c r="F170" s="1">
        <v>12195</v>
      </c>
      <c r="G170">
        <v>121</v>
      </c>
      <c r="H170" s="1">
        <v>4754</v>
      </c>
      <c r="I170" s="1">
        <v>7562</v>
      </c>
      <c r="J170" s="2">
        <v>0.77010000000000001</v>
      </c>
      <c r="K170" s="2">
        <v>3.0000000000000001E-3</v>
      </c>
      <c r="L170" s="2">
        <v>1.17E-2</v>
      </c>
      <c r="M170" s="2">
        <v>6.4600000000000005E-2</v>
      </c>
      <c r="N170" s="2">
        <v>0.1241</v>
      </c>
      <c r="O170" s="2">
        <v>2.64E-2</v>
      </c>
      <c r="P170" s="2">
        <v>0.37059999999999998</v>
      </c>
      <c r="Q170" s="2">
        <v>2.9399999999999999E-2</v>
      </c>
      <c r="R170">
        <v>3.88</v>
      </c>
      <c r="S170" s="1">
        <v>153827</v>
      </c>
      <c r="T170" s="2">
        <v>8.6999999999999994E-2</v>
      </c>
      <c r="U170" s="3">
        <v>36.99</v>
      </c>
      <c r="V170" s="1">
        <v>27952</v>
      </c>
      <c r="W170" s="2">
        <v>3.2599999999999997E-2</v>
      </c>
      <c r="X170" s="3">
        <v>17.940000000000001</v>
      </c>
      <c r="Y170">
        <v>946</v>
      </c>
      <c r="Z170" s="2">
        <v>2.2000000000000001E-3</v>
      </c>
      <c r="AA170" s="3">
        <v>8.83</v>
      </c>
      <c r="AB170">
        <v>312</v>
      </c>
      <c r="AC170" s="2">
        <v>5.0000000000000001E-4</v>
      </c>
      <c r="AD170" s="3">
        <v>12.25</v>
      </c>
      <c r="AE170" s="1">
        <v>13689</v>
      </c>
      <c r="AF170" s="2">
        <v>1.9300000000000001E-2</v>
      </c>
      <c r="AG170" s="3">
        <v>14.82</v>
      </c>
    </row>
    <row r="171" spans="1:33" x14ac:dyDescent="0.75">
      <c r="A171" t="s">
        <v>207</v>
      </c>
      <c r="B171" s="1">
        <v>12303</v>
      </c>
      <c r="C171" s="2">
        <v>0.73529999999999995</v>
      </c>
      <c r="D171" s="2">
        <v>0.26469999999999999</v>
      </c>
      <c r="E171" s="2">
        <v>0</v>
      </c>
      <c r="F171" s="1">
        <v>12114</v>
      </c>
      <c r="G171">
        <v>189</v>
      </c>
      <c r="H171" s="1">
        <v>3512</v>
      </c>
      <c r="I171" s="1">
        <v>8791</v>
      </c>
      <c r="J171" s="2">
        <v>0.70669999999999999</v>
      </c>
      <c r="K171" s="2">
        <v>6.9999999999999999E-4</v>
      </c>
      <c r="L171" s="2">
        <v>7.7000000000000002E-3</v>
      </c>
      <c r="M171" s="2">
        <v>6.4000000000000003E-3</v>
      </c>
      <c r="N171" s="2">
        <v>0.24529999999999999</v>
      </c>
      <c r="O171" s="2">
        <v>3.32E-2</v>
      </c>
      <c r="P171" s="2">
        <v>0.36559999999999998</v>
      </c>
      <c r="Q171" s="2">
        <v>5.0299999999999997E-2</v>
      </c>
      <c r="R171">
        <v>4.21</v>
      </c>
      <c r="S171" s="1">
        <v>199543</v>
      </c>
      <c r="T171" s="2">
        <v>0.1014</v>
      </c>
      <c r="U171" s="3">
        <v>37.96</v>
      </c>
      <c r="V171" s="1">
        <v>53270</v>
      </c>
      <c r="W171" s="2">
        <v>4.6399999999999997E-2</v>
      </c>
      <c r="X171" s="3">
        <v>22.13</v>
      </c>
      <c r="Y171" s="1">
        <v>12510</v>
      </c>
      <c r="Z171" s="2">
        <v>2.7799999999999998E-2</v>
      </c>
      <c r="AA171" s="3">
        <v>8.68</v>
      </c>
      <c r="AB171">
        <v>0</v>
      </c>
      <c r="AE171" s="1">
        <v>20252</v>
      </c>
      <c r="AF171" s="2">
        <v>3.56E-2</v>
      </c>
      <c r="AG171" s="3">
        <v>10.97</v>
      </c>
    </row>
    <row r="172" spans="1:33" x14ac:dyDescent="0.75">
      <c r="A172" t="s">
        <v>208</v>
      </c>
      <c r="B172" s="1">
        <v>12080</v>
      </c>
      <c r="C172" s="2">
        <v>0.57909999999999995</v>
      </c>
      <c r="D172" s="2">
        <v>0.4209</v>
      </c>
      <c r="E172" s="2">
        <v>0</v>
      </c>
      <c r="F172" s="1">
        <v>11684</v>
      </c>
      <c r="G172">
        <v>396</v>
      </c>
      <c r="H172" s="1">
        <v>3956</v>
      </c>
      <c r="I172" s="1">
        <v>8124</v>
      </c>
      <c r="J172" s="2">
        <v>0.78220000000000001</v>
      </c>
      <c r="K172" s="2">
        <v>2.0000000000000001E-4</v>
      </c>
      <c r="L172" s="2">
        <v>9.4000000000000004E-3</v>
      </c>
      <c r="M172" s="2">
        <v>5.1299999999999998E-2</v>
      </c>
      <c r="N172" s="2">
        <v>0.12670000000000001</v>
      </c>
      <c r="O172" s="2">
        <v>3.0099999999999998E-2</v>
      </c>
      <c r="P172" s="2">
        <v>0.2351</v>
      </c>
      <c r="Q172" s="2">
        <v>3.7699999999999997E-2</v>
      </c>
      <c r="R172">
        <v>5.53</v>
      </c>
      <c r="S172" s="1">
        <v>149934</v>
      </c>
      <c r="T172" s="2">
        <v>6.3200000000000006E-2</v>
      </c>
      <c r="U172" s="3">
        <v>35.549999999999997</v>
      </c>
      <c r="V172" s="1">
        <v>27234</v>
      </c>
      <c r="W172" s="2">
        <v>1.9199999999999998E-2</v>
      </c>
      <c r="X172" s="3">
        <v>21.23</v>
      </c>
      <c r="Y172" s="1">
        <v>5496</v>
      </c>
      <c r="Z172" s="2">
        <v>8.9999999999999993E-3</v>
      </c>
      <c r="AA172" s="3">
        <v>9.15</v>
      </c>
      <c r="AB172">
        <v>0</v>
      </c>
      <c r="AE172" s="1">
        <v>9017</v>
      </c>
      <c r="AF172" s="2">
        <v>7.1999999999999998E-3</v>
      </c>
      <c r="AG172" s="3">
        <v>18.760000000000002</v>
      </c>
    </row>
    <row r="173" spans="1:33" x14ac:dyDescent="0.75">
      <c r="A173" t="s">
        <v>209</v>
      </c>
      <c r="B173" s="1">
        <v>11897</v>
      </c>
      <c r="C173" s="2">
        <v>0.59389999999999998</v>
      </c>
      <c r="D173" s="2">
        <v>0.40610000000000002</v>
      </c>
      <c r="E173" s="2">
        <v>0</v>
      </c>
      <c r="F173" s="1">
        <v>11697</v>
      </c>
      <c r="G173">
        <v>200</v>
      </c>
      <c r="H173" s="1">
        <v>2949</v>
      </c>
      <c r="I173" s="1">
        <v>8948</v>
      </c>
      <c r="J173" s="2">
        <v>0.6704</v>
      </c>
      <c r="K173" s="2">
        <v>1.1299999999999999E-2</v>
      </c>
      <c r="L173" s="2">
        <v>1.1299999999999999E-2</v>
      </c>
      <c r="M173" s="2">
        <v>6.2E-2</v>
      </c>
      <c r="N173" s="2">
        <v>0.18859999999999999</v>
      </c>
      <c r="O173" s="2">
        <v>5.6399999999999999E-2</v>
      </c>
      <c r="P173" s="2">
        <v>0.2767</v>
      </c>
      <c r="Q173" s="2">
        <v>4.2999999999999997E-2</v>
      </c>
      <c r="R173">
        <v>4.0999999999999996</v>
      </c>
      <c r="S173" s="1">
        <v>190863</v>
      </c>
      <c r="T173" s="2">
        <v>0.1003</v>
      </c>
      <c r="U173" s="3">
        <v>39</v>
      </c>
      <c r="V173" s="1">
        <v>15494</v>
      </c>
      <c r="W173" s="2">
        <v>1.6799999999999999E-2</v>
      </c>
      <c r="X173" s="3">
        <v>18.850000000000001</v>
      </c>
      <c r="Y173" s="1">
        <v>17181</v>
      </c>
      <c r="Z173" s="2">
        <v>4.1200000000000001E-2</v>
      </c>
      <c r="AA173" s="3">
        <v>8.5500000000000007</v>
      </c>
      <c r="AB173" s="1">
        <v>37395</v>
      </c>
      <c r="AC173" s="2">
        <v>5.0500000000000003E-2</v>
      </c>
      <c r="AD173" s="3">
        <v>15.19</v>
      </c>
      <c r="AE173" s="1">
        <v>7820</v>
      </c>
      <c r="AF173" s="2">
        <v>9.4999999999999998E-3</v>
      </c>
      <c r="AG173" s="3">
        <v>16.88</v>
      </c>
    </row>
    <row r="174" spans="1:33" x14ac:dyDescent="0.75">
      <c r="A174" t="s">
        <v>210</v>
      </c>
      <c r="B174" s="1">
        <v>11795</v>
      </c>
      <c r="C174" s="2">
        <v>0.76419999999999999</v>
      </c>
      <c r="D174" s="2">
        <v>0.23580000000000001</v>
      </c>
      <c r="E174" s="2">
        <v>0</v>
      </c>
      <c r="F174" s="1">
        <v>11738</v>
      </c>
      <c r="G174">
        <v>57</v>
      </c>
      <c r="H174" s="1">
        <v>2808</v>
      </c>
      <c r="I174" s="1">
        <v>8987</v>
      </c>
      <c r="J174" s="2">
        <v>0.77939999999999998</v>
      </c>
      <c r="K174" s="2">
        <v>1.4E-3</v>
      </c>
      <c r="L174" s="2">
        <v>6.1999999999999998E-3</v>
      </c>
      <c r="M174" s="2">
        <v>1.3100000000000001E-2</v>
      </c>
      <c r="N174" s="2">
        <v>0.15809999999999999</v>
      </c>
      <c r="O174" s="2">
        <v>4.1700000000000001E-2</v>
      </c>
      <c r="P174" s="2">
        <v>0.3372</v>
      </c>
      <c r="Q174" s="2">
        <v>0.1128</v>
      </c>
      <c r="R174">
        <v>5.51</v>
      </c>
      <c r="S174" s="1">
        <v>154540</v>
      </c>
      <c r="T174" s="2">
        <v>8.9700000000000002E-2</v>
      </c>
      <c r="U174" s="3">
        <v>26.51</v>
      </c>
      <c r="V174" s="1">
        <v>68529</v>
      </c>
      <c r="W174" s="2">
        <v>6.7599999999999993E-2</v>
      </c>
      <c r="X174" s="3">
        <v>15.61</v>
      </c>
      <c r="Y174" s="1">
        <v>11258</v>
      </c>
      <c r="Z174" s="2">
        <v>2.1399999999999999E-2</v>
      </c>
      <c r="AA174" s="3">
        <v>8.11</v>
      </c>
      <c r="AB174" s="1">
        <v>28074</v>
      </c>
      <c r="AC174" s="2">
        <v>1.6500000000000001E-2</v>
      </c>
      <c r="AD174" s="3">
        <v>26.23</v>
      </c>
      <c r="AE174" s="1">
        <v>9562</v>
      </c>
      <c r="AF174" s="2">
        <v>9.1000000000000004E-3</v>
      </c>
      <c r="AG174" s="3">
        <v>16.170000000000002</v>
      </c>
    </row>
    <row r="175" spans="1:33" x14ac:dyDescent="0.75">
      <c r="A175" t="s">
        <v>211</v>
      </c>
      <c r="B175" s="1">
        <v>11776</v>
      </c>
      <c r="C175" s="2">
        <v>0.89970000000000006</v>
      </c>
      <c r="D175" s="2">
        <v>0</v>
      </c>
      <c r="E175" s="2">
        <v>0.1003</v>
      </c>
      <c r="F175" s="1">
        <v>10896</v>
      </c>
      <c r="G175">
        <v>880</v>
      </c>
      <c r="H175" s="1">
        <v>4679</v>
      </c>
      <c r="I175" s="1">
        <v>7097</v>
      </c>
      <c r="J175" s="2">
        <v>0.81420000000000003</v>
      </c>
      <c r="K175" s="2">
        <v>0</v>
      </c>
      <c r="L175" s="2">
        <v>1.9E-3</v>
      </c>
      <c r="M175" s="2">
        <v>1.24E-2</v>
      </c>
      <c r="N175" s="2">
        <v>0.1333</v>
      </c>
      <c r="O175" s="2">
        <v>3.8199999999999998E-2</v>
      </c>
      <c r="P175" s="2">
        <v>0.38550000000000001</v>
      </c>
      <c r="Q175" s="2">
        <v>0.1668</v>
      </c>
      <c r="R175">
        <v>3.97</v>
      </c>
      <c r="S175" s="1">
        <v>182108</v>
      </c>
      <c r="T175" s="2">
        <v>9.7000000000000003E-2</v>
      </c>
      <c r="U175" s="3">
        <v>40.130000000000003</v>
      </c>
      <c r="V175" s="1">
        <v>39483</v>
      </c>
      <c r="W175" s="2">
        <v>4.07E-2</v>
      </c>
      <c r="X175" s="3">
        <v>20.72</v>
      </c>
      <c r="Y175" s="1">
        <v>23181</v>
      </c>
      <c r="Z175" s="2">
        <v>5.0999999999999997E-2</v>
      </c>
      <c r="AA175" s="3">
        <v>9.7200000000000006</v>
      </c>
      <c r="AB175" s="1">
        <v>8725</v>
      </c>
      <c r="AC175" s="2">
        <v>1.2999999999999999E-2</v>
      </c>
      <c r="AD175" s="3">
        <v>14.35</v>
      </c>
      <c r="AE175" s="1">
        <v>8026</v>
      </c>
      <c r="AF175" s="2">
        <v>1.18E-2</v>
      </c>
      <c r="AG175" s="3">
        <v>14.56</v>
      </c>
    </row>
    <row r="176" spans="1:33" x14ac:dyDescent="0.75">
      <c r="A176" t="s">
        <v>212</v>
      </c>
      <c r="B176" s="1">
        <v>11743</v>
      </c>
      <c r="C176" s="2">
        <v>0.48509999999999998</v>
      </c>
      <c r="D176" s="2">
        <v>0.51490000000000002</v>
      </c>
      <c r="E176" s="2">
        <v>0</v>
      </c>
      <c r="F176" s="1">
        <v>11705</v>
      </c>
      <c r="G176">
        <v>38</v>
      </c>
      <c r="H176" s="1">
        <v>4133</v>
      </c>
      <c r="I176" s="1">
        <v>7610</v>
      </c>
      <c r="J176" s="2">
        <v>0.745</v>
      </c>
      <c r="K176" s="2">
        <v>6.0000000000000001E-3</v>
      </c>
      <c r="L176" s="2">
        <v>1.23E-2</v>
      </c>
      <c r="M176" s="2">
        <v>1.8599999999999998E-2</v>
      </c>
      <c r="N176" s="2">
        <v>0.18429999999999999</v>
      </c>
      <c r="O176" s="2">
        <v>3.3799999999999997E-2</v>
      </c>
      <c r="P176" s="2">
        <v>0.28910000000000002</v>
      </c>
      <c r="Q176" s="2">
        <v>2.5100000000000001E-2</v>
      </c>
      <c r="R176">
        <v>4.83</v>
      </c>
      <c r="S176" s="1">
        <v>130482</v>
      </c>
      <c r="T176" s="2">
        <v>6.2799999999999995E-2</v>
      </c>
      <c r="U176" s="3">
        <v>36.6</v>
      </c>
      <c r="V176" s="1">
        <v>17099</v>
      </c>
      <c r="W176" s="2">
        <v>1.61E-2</v>
      </c>
      <c r="X176" s="3">
        <v>18.71</v>
      </c>
      <c r="Y176" s="1">
        <v>8083</v>
      </c>
      <c r="Z176" s="2">
        <v>1.6199999999999999E-2</v>
      </c>
      <c r="AA176" s="3">
        <v>8.7799999999999994</v>
      </c>
      <c r="AB176" s="1">
        <v>9642</v>
      </c>
      <c r="AC176" s="2">
        <v>6.1000000000000004E-3</v>
      </c>
      <c r="AD176" s="3">
        <v>28.06</v>
      </c>
      <c r="AE176" s="1">
        <v>7784</v>
      </c>
      <c r="AF176" s="2">
        <v>1.0800000000000001E-2</v>
      </c>
      <c r="AG176" s="3">
        <v>12.69</v>
      </c>
    </row>
    <row r="177" spans="1:33" x14ac:dyDescent="0.75">
      <c r="A177" t="s">
        <v>213</v>
      </c>
      <c r="B177" s="1">
        <v>11463</v>
      </c>
      <c r="C177" s="2">
        <v>0.4839</v>
      </c>
      <c r="D177" s="2">
        <v>0.4456</v>
      </c>
      <c r="E177" s="2">
        <v>7.0499999999999993E-2</v>
      </c>
      <c r="F177" s="1">
        <v>11323</v>
      </c>
      <c r="G177">
        <v>140</v>
      </c>
      <c r="H177" s="1">
        <v>2593</v>
      </c>
      <c r="I177" s="1">
        <v>8870</v>
      </c>
      <c r="J177" s="2">
        <v>0.496</v>
      </c>
      <c r="K177" s="2">
        <v>2.9999999999999997E-4</v>
      </c>
      <c r="L177" s="2">
        <v>1.1299999999999999E-2</v>
      </c>
      <c r="M177" s="2">
        <v>4.0399999999999998E-2</v>
      </c>
      <c r="N177" s="2">
        <v>0.4123</v>
      </c>
      <c r="O177" s="2">
        <v>3.9600000000000003E-2</v>
      </c>
      <c r="P177" s="2">
        <v>0.38240000000000002</v>
      </c>
      <c r="Q177" s="2">
        <v>2.9000000000000001E-2</v>
      </c>
      <c r="R177">
        <v>4.8600000000000003</v>
      </c>
      <c r="S177" s="1">
        <v>201071</v>
      </c>
      <c r="T177" s="2">
        <v>8.3299999999999999E-2</v>
      </c>
      <c r="U177" s="3">
        <v>43.33</v>
      </c>
      <c r="V177" s="1">
        <v>41919</v>
      </c>
      <c r="W177" s="2">
        <v>3.5499999999999997E-2</v>
      </c>
      <c r="X177" s="3">
        <v>21.17</v>
      </c>
      <c r="Y177" s="1">
        <v>8464</v>
      </c>
      <c r="Z177" s="2">
        <v>1.7999999999999999E-2</v>
      </c>
      <c r="AA177" s="3">
        <v>8.4499999999999993</v>
      </c>
      <c r="AB177">
        <v>713</v>
      </c>
      <c r="AC177" s="2">
        <v>1.4E-3</v>
      </c>
      <c r="AD177" s="3">
        <v>9.2100000000000009</v>
      </c>
      <c r="AE177" s="1">
        <v>33914</v>
      </c>
      <c r="AF177" s="2">
        <v>4.8099999999999997E-2</v>
      </c>
      <c r="AG177" s="3">
        <v>12.65</v>
      </c>
    </row>
    <row r="178" spans="1:33" x14ac:dyDescent="0.75">
      <c r="A178" t="s">
        <v>214</v>
      </c>
      <c r="B178" s="1">
        <v>11229</v>
      </c>
      <c r="C178" s="2">
        <v>0.54620000000000002</v>
      </c>
      <c r="D178" s="2">
        <v>0.45379999999999998</v>
      </c>
      <c r="E178" s="2">
        <v>0</v>
      </c>
      <c r="F178" s="1">
        <v>11012</v>
      </c>
      <c r="G178">
        <v>217</v>
      </c>
      <c r="H178" s="1">
        <v>2643</v>
      </c>
      <c r="I178" s="1">
        <v>8586</v>
      </c>
      <c r="J178" s="2">
        <v>0.59409999999999996</v>
      </c>
      <c r="K178" s="2">
        <v>1.66E-2</v>
      </c>
      <c r="L178" s="2">
        <v>3.5999999999999997E-2</v>
      </c>
      <c r="M178" s="2">
        <v>8.2000000000000003E-2</v>
      </c>
      <c r="N178" s="2">
        <v>0.23130000000000001</v>
      </c>
      <c r="O178" s="2">
        <v>4.0099999999999997E-2</v>
      </c>
      <c r="P178" s="2">
        <v>0.36890000000000001</v>
      </c>
      <c r="Q178" s="2">
        <v>3.1899999999999998E-2</v>
      </c>
      <c r="R178">
        <v>4.58</v>
      </c>
      <c r="S178" s="1">
        <v>130001</v>
      </c>
      <c r="T178" s="2">
        <v>6.5299999999999997E-2</v>
      </c>
      <c r="U178" s="3">
        <v>38.68</v>
      </c>
      <c r="V178" s="1">
        <v>57440</v>
      </c>
      <c r="W178" s="2">
        <v>6.0499999999999998E-2</v>
      </c>
      <c r="X178" s="3">
        <v>18.440000000000001</v>
      </c>
      <c r="Y178" s="1">
        <v>8384</v>
      </c>
      <c r="Z178" s="2">
        <v>0.02</v>
      </c>
      <c r="AA178" s="3">
        <v>8.16</v>
      </c>
      <c r="AB178">
        <v>0</v>
      </c>
      <c r="AE178" s="1">
        <v>10758</v>
      </c>
      <c r="AF178" s="2">
        <v>2.07E-2</v>
      </c>
      <c r="AG178" s="3">
        <v>10.11</v>
      </c>
    </row>
    <row r="179" spans="1:33" x14ac:dyDescent="0.75">
      <c r="A179" t="s">
        <v>215</v>
      </c>
      <c r="B179" s="1">
        <v>10893</v>
      </c>
      <c r="C179" s="2">
        <v>1</v>
      </c>
      <c r="D179" s="2">
        <v>0</v>
      </c>
      <c r="E179" s="2">
        <v>0</v>
      </c>
      <c r="F179" s="1">
        <v>10200</v>
      </c>
      <c r="G179">
        <v>693</v>
      </c>
      <c r="H179" s="1">
        <v>3245</v>
      </c>
      <c r="I179" s="1">
        <v>7648</v>
      </c>
      <c r="J179" s="2">
        <v>0.65349999999999997</v>
      </c>
      <c r="K179" s="2">
        <v>9.7000000000000003E-3</v>
      </c>
      <c r="L179" s="2">
        <v>7.4999999999999997E-3</v>
      </c>
      <c r="M179" s="2">
        <v>7.1199999999999999E-2</v>
      </c>
      <c r="N179" s="2">
        <v>0.1946</v>
      </c>
      <c r="O179" s="2">
        <v>6.3299999999999995E-2</v>
      </c>
      <c r="P179" s="2">
        <v>0.45100000000000001</v>
      </c>
      <c r="Q179" s="2">
        <v>2.1000000000000001E-2</v>
      </c>
      <c r="R179">
        <v>3.53</v>
      </c>
      <c r="S179" s="1">
        <v>105237</v>
      </c>
      <c r="T179" s="2">
        <v>7.4099999999999999E-2</v>
      </c>
      <c r="U179" s="3">
        <v>36.880000000000003</v>
      </c>
      <c r="V179" s="1">
        <v>30919</v>
      </c>
      <c r="W179" s="2">
        <v>4.1799999999999997E-2</v>
      </c>
      <c r="X179" s="3">
        <v>19.190000000000001</v>
      </c>
      <c r="Y179" s="1">
        <v>6961</v>
      </c>
      <c r="Z179" s="2">
        <v>1.9800000000000002E-2</v>
      </c>
      <c r="AA179" s="3">
        <v>9.15</v>
      </c>
      <c r="AB179" s="1">
        <v>29007</v>
      </c>
      <c r="AC179" s="2">
        <v>5.0700000000000002E-2</v>
      </c>
      <c r="AD179" s="3">
        <v>14.86</v>
      </c>
      <c r="AE179" s="1">
        <v>10476</v>
      </c>
      <c r="AF179" s="2">
        <v>2.0199999999999999E-2</v>
      </c>
      <c r="AG179" s="3">
        <v>13.47</v>
      </c>
    </row>
    <row r="180" spans="1:33" x14ac:dyDescent="0.75">
      <c r="A180" t="s">
        <v>216</v>
      </c>
      <c r="B180" s="1">
        <v>10873</v>
      </c>
      <c r="C180" s="2">
        <v>0.7419</v>
      </c>
      <c r="D180" s="2">
        <v>0.2581</v>
      </c>
      <c r="E180" s="2">
        <v>0</v>
      </c>
      <c r="F180" s="1">
        <v>10555</v>
      </c>
      <c r="G180">
        <v>318</v>
      </c>
      <c r="H180" s="1">
        <v>4460</v>
      </c>
      <c r="I180" s="1">
        <v>6413</v>
      </c>
      <c r="J180" s="2">
        <v>0.76959999999999995</v>
      </c>
      <c r="K180" s="2">
        <v>1.89E-2</v>
      </c>
      <c r="L180" s="2">
        <v>7.9000000000000008E-3</v>
      </c>
      <c r="M180" s="2">
        <v>3.8899999999999997E-2</v>
      </c>
      <c r="N180" s="2">
        <v>0.1366</v>
      </c>
      <c r="O180" s="2">
        <v>2.81E-2</v>
      </c>
      <c r="P180" s="2">
        <v>0.45619999999999999</v>
      </c>
      <c r="Q180" s="2">
        <v>3.3700000000000001E-2</v>
      </c>
      <c r="R180">
        <v>4.2300000000000004</v>
      </c>
      <c r="S180" s="1">
        <v>132208</v>
      </c>
      <c r="T180" s="2">
        <v>0.105</v>
      </c>
      <c r="U180" s="3">
        <v>27.34</v>
      </c>
      <c r="V180" s="1">
        <v>48611</v>
      </c>
      <c r="W180" s="2">
        <v>6.5000000000000002E-2</v>
      </c>
      <c r="X180" s="3">
        <v>16.25</v>
      </c>
      <c r="Y180" s="1">
        <v>7445</v>
      </c>
      <c r="Z180" s="2">
        <v>1.7999999999999999E-2</v>
      </c>
      <c r="AA180" s="3">
        <v>8.9700000000000006</v>
      </c>
      <c r="AB180" s="1">
        <v>3272</v>
      </c>
      <c r="AC180" s="2">
        <v>5.4999999999999997E-3</v>
      </c>
      <c r="AD180" s="3">
        <v>12.86</v>
      </c>
      <c r="AE180" s="1">
        <v>14025</v>
      </c>
      <c r="AF180" s="2">
        <v>2.0299999999999999E-2</v>
      </c>
      <c r="AG180" s="3">
        <v>15.02</v>
      </c>
    </row>
    <row r="181" spans="1:33" x14ac:dyDescent="0.75">
      <c r="A181" t="s">
        <v>217</v>
      </c>
      <c r="B181" s="1">
        <v>10806</v>
      </c>
      <c r="C181" s="2">
        <v>0.53300000000000003</v>
      </c>
      <c r="D181" s="2">
        <v>0.46700000000000003</v>
      </c>
      <c r="E181" s="2">
        <v>0</v>
      </c>
      <c r="F181" s="1">
        <v>10687</v>
      </c>
      <c r="G181">
        <v>119</v>
      </c>
      <c r="H181" s="1">
        <v>2649</v>
      </c>
      <c r="I181" s="1">
        <v>8157</v>
      </c>
      <c r="J181" s="2">
        <v>0.44330000000000003</v>
      </c>
      <c r="K181" s="2">
        <v>0</v>
      </c>
      <c r="L181" s="2">
        <v>1.1900000000000001E-2</v>
      </c>
      <c r="M181" s="2">
        <v>2.7E-2</v>
      </c>
      <c r="N181" s="2">
        <v>0.46210000000000001</v>
      </c>
      <c r="O181" s="2">
        <v>5.57E-2</v>
      </c>
      <c r="P181" s="2">
        <v>0.4148</v>
      </c>
      <c r="Q181" s="2">
        <v>2.0500000000000001E-2</v>
      </c>
      <c r="R181">
        <v>4.9000000000000004</v>
      </c>
      <c r="S181" s="1">
        <v>134662</v>
      </c>
      <c r="T181" s="2">
        <v>5.0900000000000001E-2</v>
      </c>
      <c r="U181" s="3">
        <v>50</v>
      </c>
      <c r="V181" s="1">
        <v>41650</v>
      </c>
      <c r="W181" s="2">
        <v>3.6299999999999999E-2</v>
      </c>
      <c r="X181" s="3">
        <v>21.65</v>
      </c>
      <c r="Y181" s="1">
        <v>12968</v>
      </c>
      <c r="Z181" s="2">
        <v>2.7799999999999998E-2</v>
      </c>
      <c r="AA181" s="3">
        <v>8.81</v>
      </c>
      <c r="AB181">
        <v>554</v>
      </c>
      <c r="AC181" s="2">
        <v>8.0000000000000004E-4</v>
      </c>
      <c r="AD181" s="3">
        <v>13.16</v>
      </c>
      <c r="AE181" s="1">
        <v>42175</v>
      </c>
      <c r="AF181" s="2">
        <v>6.4899999999999999E-2</v>
      </c>
      <c r="AG181" s="3">
        <v>12.27</v>
      </c>
    </row>
    <row r="182" spans="1:33" x14ac:dyDescent="0.75">
      <c r="A182" t="s">
        <v>218</v>
      </c>
      <c r="B182" s="1">
        <v>10667</v>
      </c>
      <c r="C182" s="2">
        <v>0.60650000000000004</v>
      </c>
      <c r="D182" s="2">
        <v>0.39350000000000002</v>
      </c>
      <c r="E182" s="2">
        <v>0</v>
      </c>
      <c r="F182" s="1">
        <v>10398</v>
      </c>
      <c r="G182">
        <v>269</v>
      </c>
      <c r="H182" s="1">
        <v>3550</v>
      </c>
      <c r="I182" s="1">
        <v>7117</v>
      </c>
      <c r="J182" s="2">
        <v>0.78269999999999995</v>
      </c>
      <c r="K182" s="2">
        <v>1E-4</v>
      </c>
      <c r="L182" s="2">
        <v>2.12E-2</v>
      </c>
      <c r="M182" s="2">
        <v>2.9600000000000001E-2</v>
      </c>
      <c r="N182" s="2">
        <v>0.1166</v>
      </c>
      <c r="O182" s="2">
        <v>4.9799999999999997E-2</v>
      </c>
      <c r="P182" s="2">
        <v>0.32729999999999998</v>
      </c>
      <c r="Q182" s="2">
        <v>2.69E-2</v>
      </c>
      <c r="R182">
        <v>3.31</v>
      </c>
      <c r="S182" s="1">
        <v>80491</v>
      </c>
      <c r="T182" s="2">
        <v>0.14499999999999999</v>
      </c>
      <c r="U182" s="3">
        <v>15.73</v>
      </c>
      <c r="V182" s="1">
        <v>32324</v>
      </c>
      <c r="W182" s="2">
        <v>4.58E-2</v>
      </c>
      <c r="X182" s="3">
        <v>20.010000000000002</v>
      </c>
      <c r="Y182" s="1">
        <v>9830</v>
      </c>
      <c r="Z182" s="2">
        <v>3.85E-2</v>
      </c>
      <c r="AA182" s="3">
        <v>7.24</v>
      </c>
      <c r="AB182" s="1">
        <v>8863</v>
      </c>
      <c r="AC182" s="2">
        <v>8.8000000000000005E-3</v>
      </c>
      <c r="AD182" s="3">
        <v>28.57</v>
      </c>
      <c r="AE182" s="1">
        <v>11465</v>
      </c>
      <c r="AF182" s="2">
        <v>1.2800000000000001E-2</v>
      </c>
      <c r="AG182" s="3">
        <v>25.4</v>
      </c>
    </row>
    <row r="183" spans="1:33" x14ac:dyDescent="0.75">
      <c r="A183" t="s">
        <v>219</v>
      </c>
      <c r="B183" s="1">
        <v>10335</v>
      </c>
      <c r="C183" s="2">
        <v>0.58330000000000004</v>
      </c>
      <c r="D183" s="2">
        <v>0.41670000000000001</v>
      </c>
      <c r="E183" s="2">
        <v>0</v>
      </c>
      <c r="F183" s="1">
        <v>10205</v>
      </c>
      <c r="G183">
        <v>130</v>
      </c>
      <c r="H183" s="1">
        <v>5219</v>
      </c>
      <c r="I183" s="1">
        <v>5116</v>
      </c>
      <c r="J183" s="2">
        <v>0.76459999999999995</v>
      </c>
      <c r="K183" s="2">
        <v>2E-3</v>
      </c>
      <c r="L183" s="2">
        <v>2.2200000000000001E-2</v>
      </c>
      <c r="M183" s="2">
        <v>3.5099999999999999E-2</v>
      </c>
      <c r="N183" s="2">
        <v>0.12239999999999999</v>
      </c>
      <c r="O183" s="2">
        <v>5.3699999999999998E-2</v>
      </c>
      <c r="P183" s="2">
        <v>0.27879999999999999</v>
      </c>
      <c r="Q183" s="2">
        <v>4.4600000000000001E-2</v>
      </c>
      <c r="R183">
        <v>5.2</v>
      </c>
      <c r="S183" s="1">
        <v>325635</v>
      </c>
      <c r="T183" s="2">
        <v>0.1605</v>
      </c>
      <c r="U183" s="3">
        <v>37.75</v>
      </c>
      <c r="V183" s="1">
        <v>23627</v>
      </c>
      <c r="W183" s="2">
        <v>2.1399999999999999E-2</v>
      </c>
      <c r="X183" s="3">
        <v>20.59</v>
      </c>
      <c r="Y183" s="1">
        <v>85268</v>
      </c>
      <c r="Z183" s="2">
        <v>0.1865</v>
      </c>
      <c r="AA183" s="3">
        <v>8.51</v>
      </c>
      <c r="AB183">
        <v>0</v>
      </c>
      <c r="AE183" s="1">
        <v>19952</v>
      </c>
      <c r="AF183" s="2">
        <v>4.0300000000000002E-2</v>
      </c>
      <c r="AG183" s="3">
        <v>9.2200000000000006</v>
      </c>
    </row>
    <row r="184" spans="1:33" x14ac:dyDescent="0.75">
      <c r="A184" t="s">
        <v>220</v>
      </c>
      <c r="B184" s="1">
        <v>10277</v>
      </c>
      <c r="C184" s="2">
        <v>0.52090000000000003</v>
      </c>
      <c r="D184" s="2">
        <v>0.47910000000000003</v>
      </c>
      <c r="E184" s="2">
        <v>0</v>
      </c>
      <c r="F184" s="1">
        <v>9942</v>
      </c>
      <c r="G184">
        <v>335</v>
      </c>
      <c r="H184" s="1">
        <v>2386</v>
      </c>
      <c r="I184" s="1">
        <v>7891</v>
      </c>
      <c r="J184" s="2">
        <v>0.72960000000000003</v>
      </c>
      <c r="K184" s="2">
        <v>2.5000000000000001E-3</v>
      </c>
      <c r="L184" s="2">
        <v>4.0000000000000002E-4</v>
      </c>
      <c r="M184" s="2">
        <v>3.6999999999999998E-2</v>
      </c>
      <c r="N184" s="2">
        <v>0.17860000000000001</v>
      </c>
      <c r="O184" s="2">
        <v>5.1999999999999998E-2</v>
      </c>
      <c r="P184" s="2">
        <v>0.29649999999999999</v>
      </c>
      <c r="Q184" s="2">
        <v>8.0600000000000005E-2</v>
      </c>
      <c r="R184">
        <v>4.3499999999999996</v>
      </c>
      <c r="S184" s="1">
        <v>110262</v>
      </c>
      <c r="T184" s="2">
        <v>0.16239999999999999</v>
      </c>
      <c r="U184" s="3">
        <v>15.2</v>
      </c>
      <c r="V184" s="1">
        <v>19178</v>
      </c>
      <c r="W184" s="2">
        <v>2.2100000000000002E-2</v>
      </c>
      <c r="X184" s="3">
        <v>19.46</v>
      </c>
      <c r="Y184" s="1">
        <v>8978</v>
      </c>
      <c r="Z184" s="2">
        <v>2.2700000000000001E-2</v>
      </c>
      <c r="AA184" s="3">
        <v>8.84</v>
      </c>
      <c r="AB184" s="1">
        <v>12219</v>
      </c>
      <c r="AC184" s="2">
        <v>9.4999999999999998E-3</v>
      </c>
      <c r="AD184" s="3">
        <v>28.75</v>
      </c>
      <c r="AE184" s="1">
        <v>14489</v>
      </c>
      <c r="AF184" s="2">
        <v>2.3800000000000002E-2</v>
      </c>
      <c r="AG184" s="3">
        <v>13.62</v>
      </c>
    </row>
    <row r="185" spans="1:33" x14ac:dyDescent="0.75">
      <c r="A185" t="s">
        <v>221</v>
      </c>
      <c r="B185" s="1">
        <v>9938</v>
      </c>
      <c r="C185" s="2">
        <v>0.65269999999999995</v>
      </c>
      <c r="D185" s="2">
        <v>0.3473</v>
      </c>
      <c r="E185" s="2">
        <v>0</v>
      </c>
      <c r="F185" s="1">
        <v>9797</v>
      </c>
      <c r="G185">
        <v>141</v>
      </c>
      <c r="H185" s="1">
        <v>4333</v>
      </c>
      <c r="I185" s="1">
        <v>5605</v>
      </c>
      <c r="J185" s="2">
        <v>0.74039999999999995</v>
      </c>
      <c r="K185" s="2">
        <v>0</v>
      </c>
      <c r="L185" s="2">
        <v>2.3699999999999999E-2</v>
      </c>
      <c r="M185" s="2">
        <v>1.1900000000000001E-2</v>
      </c>
      <c r="N185" s="2">
        <v>0.17199999999999999</v>
      </c>
      <c r="O185" s="2">
        <v>5.1999999999999998E-2</v>
      </c>
      <c r="P185" s="2">
        <v>0.44069999999999998</v>
      </c>
      <c r="Q185" s="2">
        <v>1.38E-2</v>
      </c>
      <c r="R185">
        <v>4.57</v>
      </c>
      <c r="S185" s="1">
        <v>82494</v>
      </c>
      <c r="T185" s="2">
        <v>0.1177</v>
      </c>
      <c r="U185" s="3">
        <v>15.42</v>
      </c>
      <c r="V185" s="1">
        <v>17843</v>
      </c>
      <c r="W185" s="2">
        <v>2.0299999999999999E-2</v>
      </c>
      <c r="X185" s="3">
        <v>19.350000000000001</v>
      </c>
      <c r="Y185" s="1">
        <v>11982</v>
      </c>
      <c r="Z185" s="2">
        <v>3.0599999999999999E-2</v>
      </c>
      <c r="AA185" s="3">
        <v>8.6300000000000008</v>
      </c>
      <c r="AB185" s="1">
        <v>8943</v>
      </c>
      <c r="AC185" s="2">
        <v>6.7000000000000002E-3</v>
      </c>
      <c r="AD185" s="3">
        <v>29.57</v>
      </c>
      <c r="AE185" s="1">
        <v>26218</v>
      </c>
      <c r="AF185" s="2">
        <v>3.6200000000000003E-2</v>
      </c>
      <c r="AG185" s="3">
        <v>15.95</v>
      </c>
    </row>
    <row r="186" spans="1:33" x14ac:dyDescent="0.75">
      <c r="A186" t="s">
        <v>222</v>
      </c>
      <c r="B186" s="1">
        <v>9774</v>
      </c>
      <c r="C186" s="2">
        <v>1</v>
      </c>
      <c r="D186" s="2">
        <v>0</v>
      </c>
      <c r="E186" s="2">
        <v>0</v>
      </c>
      <c r="F186" s="1">
        <v>9653</v>
      </c>
      <c r="G186">
        <v>121</v>
      </c>
      <c r="H186" s="1">
        <v>3843</v>
      </c>
      <c r="I186" s="1">
        <v>5931</v>
      </c>
      <c r="J186" s="2">
        <v>0.82969999999999999</v>
      </c>
      <c r="K186" s="2">
        <v>0</v>
      </c>
      <c r="L186" s="2">
        <v>7.1999999999999998E-3</v>
      </c>
      <c r="M186" s="2">
        <v>2.5499999999999998E-2</v>
      </c>
      <c r="N186" s="2">
        <v>0.1187</v>
      </c>
      <c r="O186" s="2">
        <v>1.9E-2</v>
      </c>
      <c r="P186" s="2">
        <v>0.43440000000000001</v>
      </c>
      <c r="Q186" s="2">
        <v>8.3199999999999996E-2</v>
      </c>
      <c r="R186">
        <v>3.61</v>
      </c>
      <c r="S186" s="1">
        <v>135973</v>
      </c>
      <c r="T186" s="2">
        <v>9.0200000000000002E-2</v>
      </c>
      <c r="U186" s="3">
        <v>42.74</v>
      </c>
      <c r="V186" s="1">
        <v>32576</v>
      </c>
      <c r="W186" s="2">
        <v>4.3900000000000002E-2</v>
      </c>
      <c r="X186" s="3">
        <v>21.03</v>
      </c>
      <c r="Y186" s="1">
        <v>3250</v>
      </c>
      <c r="Z186" s="2">
        <v>1.01E-2</v>
      </c>
      <c r="AA186" s="3">
        <v>9.1199999999999992</v>
      </c>
      <c r="AB186" s="1">
        <v>1605</v>
      </c>
      <c r="AC186" s="2">
        <v>3.0999999999999999E-3</v>
      </c>
      <c r="AD186" s="3">
        <v>14.52</v>
      </c>
      <c r="AE186" s="1">
        <v>17920</v>
      </c>
      <c r="AF186" s="2">
        <v>4.07E-2</v>
      </c>
      <c r="AG186" s="3">
        <v>12.48</v>
      </c>
    </row>
    <row r="187" spans="1:33" x14ac:dyDescent="0.75">
      <c r="A187" t="s">
        <v>223</v>
      </c>
      <c r="B187" s="1">
        <v>9668</v>
      </c>
      <c r="C187" s="2">
        <v>0.69230000000000003</v>
      </c>
      <c r="D187" s="2">
        <v>0.30769999999999997</v>
      </c>
      <c r="E187" s="2">
        <v>0</v>
      </c>
      <c r="F187" s="1">
        <v>9573</v>
      </c>
      <c r="G187">
        <v>95</v>
      </c>
      <c r="H187" s="1">
        <v>3520</v>
      </c>
      <c r="I187" s="1">
        <v>6148</v>
      </c>
      <c r="J187" s="2">
        <v>0.75029999999999997</v>
      </c>
      <c r="K187" s="2">
        <v>6.9999999999999999E-4</v>
      </c>
      <c r="L187" s="2">
        <v>5.4999999999999997E-3</v>
      </c>
      <c r="M187" s="2">
        <v>2.0299999999999999E-2</v>
      </c>
      <c r="N187" s="2">
        <v>0.17519999999999999</v>
      </c>
      <c r="O187" s="2">
        <v>4.8000000000000001E-2</v>
      </c>
      <c r="P187" s="2">
        <v>0.39629999999999999</v>
      </c>
      <c r="Q187" s="2">
        <v>4.9599999999999998E-2</v>
      </c>
      <c r="R187">
        <v>4.42</v>
      </c>
      <c r="S187" s="1">
        <v>116726</v>
      </c>
      <c r="T187" s="2">
        <v>7.1900000000000006E-2</v>
      </c>
      <c r="U187" s="3">
        <v>38.01</v>
      </c>
      <c r="V187" s="1">
        <v>23810</v>
      </c>
      <c r="W187" s="2">
        <v>2.9600000000000001E-2</v>
      </c>
      <c r="X187" s="3">
        <v>18.82</v>
      </c>
      <c r="Y187" s="1">
        <v>12421</v>
      </c>
      <c r="Z187" s="2">
        <v>3.2300000000000002E-2</v>
      </c>
      <c r="AA187" s="3">
        <v>8.99</v>
      </c>
      <c r="AB187" s="1">
        <v>4032</v>
      </c>
      <c r="AC187" s="2">
        <v>3.3999999999999998E-3</v>
      </c>
      <c r="AD187" s="3">
        <v>28.18</v>
      </c>
      <c r="AE187" s="1">
        <v>11471</v>
      </c>
      <c r="AF187" s="2">
        <v>2.0299999999999999E-2</v>
      </c>
      <c r="AG187" s="3">
        <v>13.26</v>
      </c>
    </row>
    <row r="188" spans="1:33" x14ac:dyDescent="0.75">
      <c r="A188" t="s">
        <v>224</v>
      </c>
      <c r="B188" s="1">
        <v>9394</v>
      </c>
      <c r="C188" s="2">
        <v>0.2989</v>
      </c>
      <c r="D188" s="2">
        <v>0.70109999999999995</v>
      </c>
      <c r="E188" s="2">
        <v>0</v>
      </c>
      <c r="F188" s="1">
        <v>9250</v>
      </c>
      <c r="G188">
        <v>144</v>
      </c>
      <c r="H188" s="1">
        <v>1821</v>
      </c>
      <c r="I188" s="1">
        <v>7573</v>
      </c>
      <c r="J188" s="2">
        <v>0.87419999999999998</v>
      </c>
      <c r="K188" s="2">
        <v>0</v>
      </c>
      <c r="L188" s="2">
        <v>2.0000000000000001E-4</v>
      </c>
      <c r="M188" s="2">
        <v>1.1999999999999999E-3</v>
      </c>
      <c r="N188" s="2">
        <v>0.1079</v>
      </c>
      <c r="O188" s="2">
        <v>1.6500000000000001E-2</v>
      </c>
      <c r="P188" s="2">
        <v>0.21490000000000001</v>
      </c>
      <c r="Q188" s="2">
        <v>0.1633</v>
      </c>
      <c r="R188">
        <v>4.4400000000000004</v>
      </c>
      <c r="S188" s="1">
        <v>159676</v>
      </c>
      <c r="T188" s="2">
        <v>0.1075</v>
      </c>
      <c r="U188" s="3">
        <v>35.61</v>
      </c>
      <c r="V188" s="1">
        <v>42607</v>
      </c>
      <c r="W188" s="2">
        <v>4.8399999999999999E-2</v>
      </c>
      <c r="X188" s="3">
        <v>21.11</v>
      </c>
      <c r="Y188">
        <v>843</v>
      </c>
      <c r="Z188" s="2">
        <v>2.3E-3</v>
      </c>
      <c r="AA188" s="3">
        <v>8.91</v>
      </c>
      <c r="AB188">
        <v>0</v>
      </c>
      <c r="AE188" s="1">
        <v>7925</v>
      </c>
      <c r="AF188" s="2">
        <v>1.7100000000000001E-2</v>
      </c>
      <c r="AG188" s="3">
        <v>11.13</v>
      </c>
    </row>
    <row r="189" spans="1:33" x14ac:dyDescent="0.75">
      <c r="A189" t="s">
        <v>225</v>
      </c>
      <c r="B189" s="1">
        <v>9377</v>
      </c>
      <c r="C189" s="2">
        <v>0.54500000000000004</v>
      </c>
      <c r="D189" s="2">
        <v>0.45500000000000002</v>
      </c>
      <c r="E189" s="2">
        <v>0</v>
      </c>
      <c r="F189" s="1">
        <v>9336</v>
      </c>
      <c r="G189">
        <v>41</v>
      </c>
      <c r="H189" s="1">
        <v>2501</v>
      </c>
      <c r="I189" s="1">
        <v>6876</v>
      </c>
      <c r="J189" s="2">
        <v>0.7923</v>
      </c>
      <c r="K189" s="2">
        <v>0</v>
      </c>
      <c r="L189" s="2">
        <v>0</v>
      </c>
      <c r="M189" s="2">
        <v>3.5999999999999999E-3</v>
      </c>
      <c r="N189" s="2">
        <v>0.159</v>
      </c>
      <c r="O189" s="2">
        <v>4.5100000000000001E-2</v>
      </c>
      <c r="P189" s="2">
        <v>0.2767</v>
      </c>
      <c r="Q189" s="2">
        <v>4.1000000000000002E-2</v>
      </c>
      <c r="R189">
        <v>5.67</v>
      </c>
      <c r="S189" s="1">
        <v>159067</v>
      </c>
      <c r="T189" s="2">
        <v>9.7699999999999995E-2</v>
      </c>
      <c r="U189" s="3">
        <v>30.62</v>
      </c>
      <c r="V189" s="1">
        <v>71695</v>
      </c>
      <c r="W189" s="2">
        <v>6.9000000000000006E-2</v>
      </c>
      <c r="X189" s="3">
        <v>19.559999999999999</v>
      </c>
      <c r="Y189" s="1">
        <v>30340</v>
      </c>
      <c r="Z189" s="2">
        <v>6.7900000000000002E-2</v>
      </c>
      <c r="AA189" s="3">
        <v>8.41</v>
      </c>
      <c r="AB189" s="1">
        <v>5475</v>
      </c>
      <c r="AC189" s="2">
        <v>8.9999999999999993E-3</v>
      </c>
      <c r="AD189" s="3">
        <v>11.42</v>
      </c>
      <c r="AE189" s="1">
        <v>6150</v>
      </c>
      <c r="AF189" s="2">
        <v>1.77E-2</v>
      </c>
      <c r="AG189" s="3">
        <v>6.52</v>
      </c>
    </row>
    <row r="190" spans="1:33" x14ac:dyDescent="0.75">
      <c r="A190" t="s">
        <v>226</v>
      </c>
      <c r="B190" s="1">
        <v>8796</v>
      </c>
      <c r="C190" s="2">
        <v>0.44119999999999998</v>
      </c>
      <c r="D190" s="2">
        <v>0.55879999999999996</v>
      </c>
      <c r="E190" s="2">
        <v>0</v>
      </c>
      <c r="F190" s="1">
        <v>8745</v>
      </c>
      <c r="G190">
        <v>51</v>
      </c>
      <c r="H190" s="1">
        <v>3394</v>
      </c>
      <c r="I190" s="1">
        <v>5402</v>
      </c>
      <c r="J190" s="2">
        <v>0.7984</v>
      </c>
      <c r="K190" s="2">
        <v>2.0000000000000001E-4</v>
      </c>
      <c r="L190" s="2">
        <v>1.9E-3</v>
      </c>
      <c r="M190" s="2">
        <v>3.3099999999999997E-2</v>
      </c>
      <c r="N190" s="2">
        <v>0.13569999999999999</v>
      </c>
      <c r="O190" s="2">
        <v>3.0599999999999999E-2</v>
      </c>
      <c r="P190" s="2">
        <v>0.2462</v>
      </c>
      <c r="Q190" s="2">
        <v>3.9100000000000003E-2</v>
      </c>
      <c r="R190">
        <v>6.36</v>
      </c>
      <c r="S190" s="1">
        <v>79330</v>
      </c>
      <c r="T190" s="2">
        <v>4.1399999999999999E-2</v>
      </c>
      <c r="U190" s="3">
        <v>34.270000000000003</v>
      </c>
      <c r="V190" s="1">
        <v>28250</v>
      </c>
      <c r="W190" s="2">
        <v>2.4E-2</v>
      </c>
      <c r="X190" s="3">
        <v>21.07</v>
      </c>
      <c r="Y190" s="1">
        <v>7640</v>
      </c>
      <c r="Z190" s="2">
        <v>1.5599999999999999E-2</v>
      </c>
      <c r="AA190" s="3">
        <v>8.73</v>
      </c>
      <c r="AB190" s="1">
        <v>7003</v>
      </c>
      <c r="AC190" s="2">
        <v>1.2999999999999999E-2</v>
      </c>
      <c r="AD190" s="3">
        <v>9.6199999999999992</v>
      </c>
      <c r="AE190" s="1">
        <v>6432</v>
      </c>
      <c r="AF190" s="2">
        <v>9.5999999999999992E-3</v>
      </c>
      <c r="AG190" s="3">
        <v>12.04</v>
      </c>
    </row>
    <row r="191" spans="1:33" x14ac:dyDescent="0.75">
      <c r="A191" t="s">
        <v>227</v>
      </c>
      <c r="B191" s="1">
        <v>8666</v>
      </c>
      <c r="C191" s="2">
        <v>0.93959999999999999</v>
      </c>
      <c r="D191" s="2">
        <v>0</v>
      </c>
      <c r="E191" s="2">
        <v>6.0400000000000002E-2</v>
      </c>
      <c r="F191" s="1">
        <v>8521</v>
      </c>
      <c r="G191">
        <v>145</v>
      </c>
      <c r="H191" s="1">
        <v>3597</v>
      </c>
      <c r="I191" s="1">
        <v>5069</v>
      </c>
      <c r="J191" s="2">
        <v>0.7248</v>
      </c>
      <c r="K191" s="2">
        <v>1E-3</v>
      </c>
      <c r="L191" s="2">
        <v>3.7999999999999999E-2</v>
      </c>
      <c r="M191" s="2">
        <v>2.4199999999999999E-2</v>
      </c>
      <c r="N191" s="2">
        <v>0.18340000000000001</v>
      </c>
      <c r="O191" s="2">
        <v>2.86E-2</v>
      </c>
      <c r="P191" s="2">
        <v>0.41099999999999998</v>
      </c>
      <c r="Q191" s="2">
        <v>6.8199999999999997E-2</v>
      </c>
      <c r="R191">
        <v>4.67</v>
      </c>
      <c r="S191" s="1">
        <v>137581</v>
      </c>
      <c r="T191" s="2">
        <v>8.9300000000000004E-2</v>
      </c>
      <c r="U191" s="3">
        <v>38.090000000000003</v>
      </c>
      <c r="V191" s="1">
        <v>34447</v>
      </c>
      <c r="W191" s="2">
        <v>4.2500000000000003E-2</v>
      </c>
      <c r="X191" s="3">
        <v>20.03</v>
      </c>
      <c r="Y191" s="1">
        <v>13545</v>
      </c>
      <c r="Z191" s="2">
        <v>3.9300000000000002E-2</v>
      </c>
      <c r="AA191" s="3">
        <v>8.52</v>
      </c>
      <c r="AB191" s="1">
        <v>2085</v>
      </c>
      <c r="AC191" s="2">
        <v>4.5999999999999999E-3</v>
      </c>
      <c r="AD191" s="3">
        <v>11.26</v>
      </c>
      <c r="AE191" s="1">
        <v>20299</v>
      </c>
      <c r="AF191" s="2">
        <v>4.07E-2</v>
      </c>
      <c r="AG191" s="3">
        <v>12.33</v>
      </c>
    </row>
    <row r="192" spans="1:33" x14ac:dyDescent="0.75">
      <c r="A192" t="s">
        <v>228</v>
      </c>
      <c r="B192" s="1">
        <v>8533</v>
      </c>
      <c r="C192" s="2">
        <v>0.64600000000000002</v>
      </c>
      <c r="D192" s="2">
        <v>0.35399999999999998</v>
      </c>
      <c r="E192" s="2">
        <v>0</v>
      </c>
      <c r="F192" s="1">
        <v>8393</v>
      </c>
      <c r="G192">
        <v>140</v>
      </c>
      <c r="H192" s="1">
        <v>3204</v>
      </c>
      <c r="I192" s="1">
        <v>5329</v>
      </c>
      <c r="J192" s="2">
        <v>0.70579999999999998</v>
      </c>
      <c r="K192" s="2">
        <v>0</v>
      </c>
      <c r="L192" s="2">
        <v>2.4E-2</v>
      </c>
      <c r="M192" s="2">
        <v>7.9799999999999996E-2</v>
      </c>
      <c r="N192" s="2">
        <v>0.16819999999999999</v>
      </c>
      <c r="O192" s="2">
        <v>2.2100000000000002E-2</v>
      </c>
      <c r="P192" s="2">
        <v>0.34699999999999998</v>
      </c>
      <c r="Q192" s="2">
        <v>2.4799999999999999E-2</v>
      </c>
      <c r="R192">
        <v>4.9000000000000004</v>
      </c>
      <c r="S192" s="1">
        <v>164404</v>
      </c>
      <c r="T192" s="2">
        <v>0.1153</v>
      </c>
      <c r="U192" s="3">
        <v>34.11</v>
      </c>
      <c r="V192" s="1">
        <v>19954</v>
      </c>
      <c r="W192" s="2">
        <v>3.15E-2</v>
      </c>
      <c r="X192" s="3">
        <v>15.17</v>
      </c>
      <c r="Y192" s="1">
        <v>15640</v>
      </c>
      <c r="Z192" s="2">
        <v>4.2000000000000003E-2</v>
      </c>
      <c r="AA192" s="3">
        <v>8.91</v>
      </c>
      <c r="AB192">
        <v>0</v>
      </c>
      <c r="AE192" s="1">
        <v>18155</v>
      </c>
      <c r="AF192" s="2">
        <v>3.3599999999999998E-2</v>
      </c>
      <c r="AG192" s="3">
        <v>12.92</v>
      </c>
    </row>
    <row r="193" spans="1:33" x14ac:dyDescent="0.75">
      <c r="A193" t="s">
        <v>229</v>
      </c>
      <c r="B193" s="1">
        <v>8379</v>
      </c>
      <c r="C193" s="2">
        <v>0.5615</v>
      </c>
      <c r="D193" s="2">
        <v>0.4385</v>
      </c>
      <c r="E193" s="2">
        <v>0</v>
      </c>
      <c r="F193" s="1">
        <v>8175</v>
      </c>
      <c r="G193">
        <v>204</v>
      </c>
      <c r="H193" s="1">
        <v>2130</v>
      </c>
      <c r="I193" s="1">
        <v>6249</v>
      </c>
      <c r="J193" s="2">
        <v>0.9264</v>
      </c>
      <c r="K193" s="2">
        <v>1.4E-3</v>
      </c>
      <c r="L193" s="2">
        <v>1.6999999999999999E-3</v>
      </c>
      <c r="M193" s="2">
        <v>8.0000000000000004E-4</v>
      </c>
      <c r="N193" s="2">
        <v>6.59E-2</v>
      </c>
      <c r="O193" s="2">
        <v>3.8E-3</v>
      </c>
      <c r="P193" s="2">
        <v>0.24590000000000001</v>
      </c>
      <c r="Q193" s="2">
        <v>6.5500000000000003E-2</v>
      </c>
      <c r="R193">
        <v>4.01</v>
      </c>
      <c r="S193" s="1">
        <v>100130</v>
      </c>
      <c r="T193" s="2">
        <v>0.1069</v>
      </c>
      <c r="U193" s="3">
        <v>27.85</v>
      </c>
      <c r="V193" s="1">
        <v>12640</v>
      </c>
      <c r="W193" s="2">
        <v>2.2499999999999999E-2</v>
      </c>
      <c r="X193" s="3">
        <v>16.73</v>
      </c>
      <c r="Y193" s="1">
        <v>4577</v>
      </c>
      <c r="Z193" s="2">
        <v>1.5699999999999999E-2</v>
      </c>
      <c r="AA193" s="3">
        <v>8.6999999999999993</v>
      </c>
      <c r="AB193" s="1">
        <v>2016</v>
      </c>
      <c r="AC193" s="2">
        <v>4.3E-3</v>
      </c>
      <c r="AD193" s="3">
        <v>13.89</v>
      </c>
      <c r="AE193" s="1">
        <v>14461</v>
      </c>
      <c r="AF193" s="2">
        <v>2.2599999999999999E-2</v>
      </c>
      <c r="AG193" s="3">
        <v>19.010000000000002</v>
      </c>
    </row>
    <row r="194" spans="1:33" x14ac:dyDescent="0.75">
      <c r="A194" t="s">
        <v>230</v>
      </c>
      <c r="B194" s="1">
        <v>8166</v>
      </c>
      <c r="C194" s="2">
        <v>0</v>
      </c>
      <c r="D194" s="2">
        <v>1</v>
      </c>
      <c r="E194" s="2">
        <v>0</v>
      </c>
      <c r="F194" s="1">
        <v>1782</v>
      </c>
      <c r="G194" s="1">
        <v>6384</v>
      </c>
      <c r="H194">
        <v>166</v>
      </c>
      <c r="I194" s="1">
        <v>8000</v>
      </c>
      <c r="J194" s="2">
        <v>0.67669999999999997</v>
      </c>
      <c r="K194" s="2">
        <v>7.1000000000000004E-3</v>
      </c>
      <c r="L194" s="2">
        <v>1.8E-3</v>
      </c>
      <c r="M194" s="2">
        <v>1.7500000000000002E-2</v>
      </c>
      <c r="N194" s="2">
        <v>0.17430000000000001</v>
      </c>
      <c r="O194" s="2">
        <v>0.1226</v>
      </c>
      <c r="P194" s="2">
        <v>7.3200000000000001E-2</v>
      </c>
      <c r="Q194" s="2">
        <v>3.0999999999999999E-3</v>
      </c>
      <c r="R194">
        <v>4.42</v>
      </c>
      <c r="S194" s="1">
        <v>173772</v>
      </c>
      <c r="T194" s="2">
        <v>0.14710000000000001</v>
      </c>
      <c r="U194" s="3">
        <v>32.729999999999997</v>
      </c>
      <c r="V194" s="1">
        <v>198627</v>
      </c>
      <c r="W194" s="2">
        <v>0.33150000000000002</v>
      </c>
      <c r="X194" s="3">
        <v>16.600000000000001</v>
      </c>
      <c r="Y194" s="1">
        <v>43923</v>
      </c>
      <c r="Z194" s="2">
        <v>0.1313</v>
      </c>
      <c r="AA194" s="3">
        <v>9.27</v>
      </c>
      <c r="AB194" s="1">
        <v>12987</v>
      </c>
      <c r="AC194" s="2">
        <v>3.0599999999999999E-2</v>
      </c>
      <c r="AD194" s="3">
        <v>11.78</v>
      </c>
      <c r="AE194" s="1">
        <v>7711</v>
      </c>
      <c r="AF194" s="2">
        <v>1.35E-2</v>
      </c>
      <c r="AG194" s="3">
        <v>15.79</v>
      </c>
    </row>
    <row r="195" spans="1:33" x14ac:dyDescent="0.75">
      <c r="A195" t="s">
        <v>231</v>
      </c>
      <c r="B195" s="1">
        <v>8078</v>
      </c>
      <c r="C195" s="2">
        <v>0.78879999999999995</v>
      </c>
      <c r="D195" s="2">
        <v>0.2112</v>
      </c>
      <c r="E195" s="2">
        <v>0</v>
      </c>
      <c r="F195" s="1">
        <v>8044</v>
      </c>
      <c r="G195">
        <v>34</v>
      </c>
      <c r="H195" s="1">
        <v>2286</v>
      </c>
      <c r="I195" s="1">
        <v>5792</v>
      </c>
      <c r="J195" s="2">
        <v>0.76160000000000005</v>
      </c>
      <c r="K195" s="2">
        <v>6.1000000000000004E-3</v>
      </c>
      <c r="L195" s="2">
        <v>8.9999999999999998E-4</v>
      </c>
      <c r="M195" s="2">
        <v>1.7899999999999999E-2</v>
      </c>
      <c r="N195" s="2">
        <v>0.17069999999999999</v>
      </c>
      <c r="O195" s="2">
        <v>4.2799999999999998E-2</v>
      </c>
      <c r="P195" s="2">
        <v>0.29480000000000001</v>
      </c>
      <c r="Q195" s="2">
        <v>0.10290000000000001</v>
      </c>
      <c r="R195">
        <v>4.0199999999999996</v>
      </c>
      <c r="S195" s="1">
        <v>180324</v>
      </c>
      <c r="T195" s="2">
        <v>0.1394</v>
      </c>
      <c r="U195" s="3">
        <v>39.78</v>
      </c>
      <c r="V195" s="1">
        <v>49684</v>
      </c>
      <c r="W195" s="2">
        <v>8.5000000000000006E-2</v>
      </c>
      <c r="X195" s="3">
        <v>17.989999999999998</v>
      </c>
      <c r="Y195" s="1">
        <v>28169</v>
      </c>
      <c r="Z195" s="2">
        <v>9.4700000000000006E-2</v>
      </c>
      <c r="AA195" s="3">
        <v>9.15</v>
      </c>
      <c r="AB195" s="1">
        <v>11608</v>
      </c>
      <c r="AC195" s="2">
        <v>1.15E-2</v>
      </c>
      <c r="AD195" s="3">
        <v>31.01</v>
      </c>
      <c r="AE195" s="1">
        <v>6382</v>
      </c>
      <c r="AF195" s="2">
        <v>1.21E-2</v>
      </c>
      <c r="AG195" s="3">
        <v>16.21</v>
      </c>
    </row>
    <row r="196" spans="1:33" x14ac:dyDescent="0.75">
      <c r="A196" t="s">
        <v>232</v>
      </c>
      <c r="B196" s="1">
        <v>7857</v>
      </c>
      <c r="C196" s="2">
        <v>0.58989999999999998</v>
      </c>
      <c r="D196" s="2">
        <v>0.41010000000000002</v>
      </c>
      <c r="E196" s="2">
        <v>0</v>
      </c>
      <c r="F196" s="1">
        <v>7829</v>
      </c>
      <c r="G196">
        <v>28</v>
      </c>
      <c r="H196" s="1">
        <v>2793</v>
      </c>
      <c r="I196" s="1">
        <v>5064</v>
      </c>
      <c r="J196" s="2">
        <v>0.76300000000000001</v>
      </c>
      <c r="K196" s="2">
        <v>5.9999999999999995E-4</v>
      </c>
      <c r="L196" s="2">
        <v>1.23E-2</v>
      </c>
      <c r="M196" s="2">
        <v>3.56E-2</v>
      </c>
      <c r="N196" s="2">
        <v>0.15210000000000001</v>
      </c>
      <c r="O196" s="2">
        <v>3.6299999999999999E-2</v>
      </c>
      <c r="P196" s="2">
        <v>0.2167</v>
      </c>
      <c r="Q196" s="2">
        <v>1.9099999999999999E-2</v>
      </c>
      <c r="R196">
        <v>5.49</v>
      </c>
      <c r="S196" s="1">
        <v>78827</v>
      </c>
      <c r="T196" s="2">
        <v>5.0599999999999999E-2</v>
      </c>
      <c r="U196" s="3">
        <v>36.119999999999997</v>
      </c>
      <c r="V196" s="1">
        <v>32514</v>
      </c>
      <c r="W196" s="2">
        <v>4.7E-2</v>
      </c>
      <c r="X196" s="3">
        <v>16.05</v>
      </c>
      <c r="Y196" s="1">
        <v>9156</v>
      </c>
      <c r="Z196" s="2">
        <v>2.4199999999999999E-2</v>
      </c>
      <c r="AA196" s="3">
        <v>8.7799999999999994</v>
      </c>
      <c r="AB196" s="1">
        <v>2337</v>
      </c>
      <c r="AC196" s="2">
        <v>5.3E-3</v>
      </c>
      <c r="AD196" s="3">
        <v>10.199999999999999</v>
      </c>
      <c r="AE196" s="1">
        <v>3409</v>
      </c>
      <c r="AF196" s="2">
        <v>6.4000000000000003E-3</v>
      </c>
      <c r="AG196" s="3">
        <v>12.33</v>
      </c>
    </row>
    <row r="197" spans="1:33" x14ac:dyDescent="0.75">
      <c r="A197" t="s">
        <v>233</v>
      </c>
      <c r="B197" s="1">
        <v>7637</v>
      </c>
      <c r="C197" s="2">
        <v>0.68140000000000001</v>
      </c>
      <c r="D197" s="2">
        <v>0.31859999999999999</v>
      </c>
      <c r="E197" s="2">
        <v>0</v>
      </c>
      <c r="F197" s="1">
        <v>7585</v>
      </c>
      <c r="G197">
        <v>52</v>
      </c>
      <c r="H197" s="1">
        <v>3527</v>
      </c>
      <c r="I197" s="1">
        <v>4110</v>
      </c>
      <c r="J197" s="2">
        <v>0.78800000000000003</v>
      </c>
      <c r="K197" s="2">
        <v>0</v>
      </c>
      <c r="L197" s="2">
        <v>2.9999999999999997E-4</v>
      </c>
      <c r="M197" s="2">
        <v>3.7000000000000002E-3</v>
      </c>
      <c r="N197" s="2">
        <v>0.1515</v>
      </c>
      <c r="O197" s="2">
        <v>5.6599999999999998E-2</v>
      </c>
      <c r="P197" s="2">
        <v>0.40529999999999999</v>
      </c>
      <c r="Q197" s="2">
        <v>7.1800000000000003E-2</v>
      </c>
      <c r="R197">
        <v>3.03</v>
      </c>
      <c r="S197" s="1">
        <v>86243</v>
      </c>
      <c r="T197" s="2">
        <v>8.7900000000000006E-2</v>
      </c>
      <c r="U197" s="3">
        <v>42.37</v>
      </c>
      <c r="V197" s="1">
        <v>29733</v>
      </c>
      <c r="W197" s="2">
        <v>5.9400000000000001E-2</v>
      </c>
      <c r="X197" s="3">
        <v>21.6</v>
      </c>
      <c r="Y197" s="1">
        <v>4034</v>
      </c>
      <c r="Z197" s="2">
        <v>1.9E-2</v>
      </c>
      <c r="AA197" s="3">
        <v>9.15</v>
      </c>
      <c r="AB197" s="1">
        <v>6052</v>
      </c>
      <c r="AC197" s="2">
        <v>1.84E-2</v>
      </c>
      <c r="AD197" s="3">
        <v>14.19</v>
      </c>
      <c r="AE197" s="1">
        <v>7399</v>
      </c>
      <c r="AF197" s="2">
        <v>1.8100000000000002E-2</v>
      </c>
      <c r="AG197" s="3">
        <v>17.63</v>
      </c>
    </row>
    <row r="198" spans="1:33" x14ac:dyDescent="0.75">
      <c r="A198" t="s">
        <v>234</v>
      </c>
      <c r="B198" s="1">
        <v>7627</v>
      </c>
      <c r="C198" s="2">
        <v>0.69989999999999997</v>
      </c>
      <c r="D198" s="2">
        <v>0.30009999999999998</v>
      </c>
      <c r="E198" s="2">
        <v>0</v>
      </c>
      <c r="F198" s="1">
        <v>7558</v>
      </c>
      <c r="G198">
        <v>69</v>
      </c>
      <c r="H198" s="1">
        <v>2677</v>
      </c>
      <c r="I198" s="1">
        <v>4950</v>
      </c>
      <c r="J198" s="2">
        <v>0.7702</v>
      </c>
      <c r="K198" s="2">
        <v>8.0000000000000004E-4</v>
      </c>
      <c r="L198" s="2">
        <v>1E-4</v>
      </c>
      <c r="M198" s="2">
        <v>5.3600000000000002E-2</v>
      </c>
      <c r="N198" s="2">
        <v>0.14030000000000001</v>
      </c>
      <c r="O198" s="2">
        <v>3.5000000000000003E-2</v>
      </c>
      <c r="P198" s="2">
        <v>0.31140000000000001</v>
      </c>
      <c r="Q198" s="2">
        <v>2.75E-2</v>
      </c>
      <c r="R198">
        <v>5.12</v>
      </c>
      <c r="S198" s="1">
        <v>70370</v>
      </c>
      <c r="T198" s="2">
        <v>5.3900000000000003E-2</v>
      </c>
      <c r="U198" s="3">
        <v>33.43</v>
      </c>
      <c r="V198" s="1">
        <v>16412</v>
      </c>
      <c r="W198" s="2">
        <v>3.0599999999999999E-2</v>
      </c>
      <c r="X198" s="3">
        <v>13.75</v>
      </c>
      <c r="Y198" s="1">
        <v>5981</v>
      </c>
      <c r="Z198" s="2">
        <v>1.7399999999999999E-2</v>
      </c>
      <c r="AA198" s="3">
        <v>8.82</v>
      </c>
      <c r="AB198" s="1">
        <v>1951</v>
      </c>
      <c r="AC198" s="2">
        <v>4.7000000000000002E-3</v>
      </c>
      <c r="AD198" s="3">
        <v>10.74</v>
      </c>
      <c r="AE198" s="1">
        <v>6627</v>
      </c>
      <c r="AF198" s="2">
        <v>1.2800000000000001E-2</v>
      </c>
      <c r="AG198" s="3">
        <v>13.31</v>
      </c>
    </row>
    <row r="199" spans="1:33" x14ac:dyDescent="0.75">
      <c r="A199" t="s">
        <v>235</v>
      </c>
      <c r="B199" s="1">
        <v>7581</v>
      </c>
      <c r="C199" s="2">
        <v>0.79830000000000001</v>
      </c>
      <c r="D199" s="2">
        <v>0.20169999999999999</v>
      </c>
      <c r="E199" s="2">
        <v>0</v>
      </c>
      <c r="F199" s="1">
        <v>7229</v>
      </c>
      <c r="G199">
        <v>352</v>
      </c>
      <c r="H199" s="1">
        <v>1377</v>
      </c>
      <c r="I199" s="1">
        <v>6204</v>
      </c>
      <c r="J199" s="2">
        <v>0.85740000000000005</v>
      </c>
      <c r="K199" s="2">
        <v>1.6000000000000001E-3</v>
      </c>
      <c r="L199" s="2">
        <v>0</v>
      </c>
      <c r="M199" s="2">
        <v>5.0799999999999998E-2</v>
      </c>
      <c r="N199" s="2">
        <v>8.43E-2</v>
      </c>
      <c r="O199" s="2">
        <v>5.8999999999999999E-3</v>
      </c>
      <c r="P199" s="2">
        <v>0.25590000000000002</v>
      </c>
      <c r="Q199" s="2">
        <v>5.9499999999999997E-2</v>
      </c>
      <c r="R199">
        <v>2.76</v>
      </c>
      <c r="S199" s="1">
        <v>100938</v>
      </c>
      <c r="T199" s="2">
        <v>0.14610000000000001</v>
      </c>
      <c r="U199" s="3">
        <v>33.07</v>
      </c>
      <c r="V199" s="1">
        <v>23805</v>
      </c>
      <c r="W199" s="2">
        <v>5.74E-2</v>
      </c>
      <c r="X199" s="3">
        <v>19.850000000000001</v>
      </c>
      <c r="Y199" s="1">
        <v>12234</v>
      </c>
      <c r="Z199" s="2">
        <v>6.4000000000000001E-2</v>
      </c>
      <c r="AA199" s="3">
        <v>9.15</v>
      </c>
      <c r="AB199">
        <v>0</v>
      </c>
      <c r="AE199" s="1">
        <v>2620</v>
      </c>
      <c r="AF199" s="2">
        <v>5.4000000000000003E-3</v>
      </c>
      <c r="AG199" s="3">
        <v>23.41</v>
      </c>
    </row>
    <row r="200" spans="1:33" x14ac:dyDescent="0.75">
      <c r="A200" t="s">
        <v>236</v>
      </c>
      <c r="B200" s="1">
        <v>7578</v>
      </c>
      <c r="C200" s="2">
        <v>0.60770000000000002</v>
      </c>
      <c r="D200" s="2">
        <v>0.39229999999999998</v>
      </c>
      <c r="E200" s="2">
        <v>0</v>
      </c>
      <c r="F200" s="1">
        <v>7469</v>
      </c>
      <c r="G200">
        <v>109</v>
      </c>
      <c r="H200" s="1">
        <v>2167</v>
      </c>
      <c r="I200" s="1">
        <v>5411</v>
      </c>
      <c r="J200" s="2">
        <v>0.73939999999999995</v>
      </c>
      <c r="K200" s="2">
        <v>1.2999999999999999E-3</v>
      </c>
      <c r="L200" s="2">
        <v>1.5E-3</v>
      </c>
      <c r="M200" s="2">
        <v>3.1399999999999997E-2</v>
      </c>
      <c r="N200" s="2">
        <v>0.1643</v>
      </c>
      <c r="O200" s="2">
        <v>6.2199999999999998E-2</v>
      </c>
      <c r="P200" s="2">
        <v>0.37480000000000002</v>
      </c>
      <c r="Q200" s="2">
        <v>0.1255</v>
      </c>
      <c r="R200">
        <v>3.45</v>
      </c>
      <c r="S200" s="1">
        <v>70647</v>
      </c>
      <c r="T200" s="2">
        <v>6.5000000000000002E-2</v>
      </c>
      <c r="U200" s="3">
        <v>41.57</v>
      </c>
      <c r="V200" s="1">
        <v>31370</v>
      </c>
      <c r="W200" s="2">
        <v>6.2799999999999995E-2</v>
      </c>
      <c r="X200" s="3">
        <v>19.11</v>
      </c>
      <c r="Y200" s="1">
        <v>4149</v>
      </c>
      <c r="Z200" s="2">
        <v>1.7100000000000001E-2</v>
      </c>
      <c r="AA200" s="3">
        <v>9.2799999999999994</v>
      </c>
      <c r="AB200" s="1">
        <v>12513</v>
      </c>
      <c r="AC200" s="2">
        <v>3.2899999999999999E-2</v>
      </c>
      <c r="AD200" s="3">
        <v>14.58</v>
      </c>
      <c r="AE200" s="1">
        <v>3883</v>
      </c>
      <c r="AF200" s="2">
        <v>1.24E-2</v>
      </c>
      <c r="AG200" s="3">
        <v>11.99</v>
      </c>
    </row>
    <row r="201" spans="1:33" x14ac:dyDescent="0.75">
      <c r="A201" t="s">
        <v>237</v>
      </c>
      <c r="B201" s="1">
        <v>7444</v>
      </c>
      <c r="C201" s="2">
        <v>0.93120000000000003</v>
      </c>
      <c r="D201" s="2">
        <v>0</v>
      </c>
      <c r="E201" s="2">
        <v>6.88E-2</v>
      </c>
      <c r="F201" s="1">
        <v>7367</v>
      </c>
      <c r="G201">
        <v>77</v>
      </c>
      <c r="H201" s="1">
        <v>2646</v>
      </c>
      <c r="I201" s="1">
        <v>4798</v>
      </c>
      <c r="J201" s="2">
        <v>0.7843</v>
      </c>
      <c r="K201" s="2">
        <v>0</v>
      </c>
      <c r="L201" s="2">
        <v>8.9999999999999998E-4</v>
      </c>
      <c r="M201" s="2">
        <v>8.2000000000000007E-3</v>
      </c>
      <c r="N201" s="2">
        <v>0.1895</v>
      </c>
      <c r="O201" s="2">
        <v>1.7100000000000001E-2</v>
      </c>
      <c r="P201" s="2">
        <v>0.3599</v>
      </c>
      <c r="Q201" s="2">
        <v>6.5600000000000006E-2</v>
      </c>
      <c r="R201">
        <v>5.14</v>
      </c>
      <c r="S201" s="1">
        <v>98793</v>
      </c>
      <c r="T201" s="2">
        <v>7.4200000000000002E-2</v>
      </c>
      <c r="U201" s="3">
        <v>34.78</v>
      </c>
      <c r="V201" s="1">
        <v>24820</v>
      </c>
      <c r="W201" s="2">
        <v>3.2000000000000001E-2</v>
      </c>
      <c r="X201" s="3">
        <v>20.27</v>
      </c>
      <c r="Y201" s="1">
        <v>9107</v>
      </c>
      <c r="Z201" s="2">
        <v>2.7900000000000001E-2</v>
      </c>
      <c r="AA201" s="3">
        <v>8.52</v>
      </c>
      <c r="AB201" s="1">
        <v>5826</v>
      </c>
      <c r="AC201" s="2">
        <v>1.2200000000000001E-2</v>
      </c>
      <c r="AD201" s="3">
        <v>12.47</v>
      </c>
      <c r="AE201" s="1">
        <v>15999</v>
      </c>
      <c r="AF201" s="2">
        <v>4.7399999999999998E-2</v>
      </c>
      <c r="AG201" s="3">
        <v>8.82</v>
      </c>
    </row>
    <row r="202" spans="1:33" x14ac:dyDescent="0.75">
      <c r="A202" t="s">
        <v>238</v>
      </c>
      <c r="B202" s="1">
        <v>7246</v>
      </c>
      <c r="C202" s="2">
        <v>0.56610000000000005</v>
      </c>
      <c r="D202" s="2">
        <v>0.43390000000000001</v>
      </c>
      <c r="E202" s="2">
        <v>0</v>
      </c>
      <c r="F202" s="1">
        <v>7175</v>
      </c>
      <c r="G202">
        <v>71</v>
      </c>
      <c r="H202" s="1">
        <v>2647</v>
      </c>
      <c r="I202" s="1">
        <v>4599</v>
      </c>
      <c r="J202" s="2">
        <v>0.82609999999999995</v>
      </c>
      <c r="K202" s="2">
        <v>0</v>
      </c>
      <c r="L202" s="2">
        <v>0</v>
      </c>
      <c r="M202" s="2">
        <v>2.53E-2</v>
      </c>
      <c r="N202" s="2">
        <v>0.12089999999999999</v>
      </c>
      <c r="O202" s="2">
        <v>2.7699999999999999E-2</v>
      </c>
      <c r="P202" s="2">
        <v>0.3337</v>
      </c>
      <c r="Q202" s="2">
        <v>4.5699999999999998E-2</v>
      </c>
      <c r="R202">
        <v>6.61</v>
      </c>
      <c r="S202" s="1">
        <v>152198</v>
      </c>
      <c r="T202" s="2">
        <v>0.20610000000000001</v>
      </c>
      <c r="U202" s="3">
        <v>15.42</v>
      </c>
      <c r="V202" s="1">
        <v>52776</v>
      </c>
      <c r="W202" s="2">
        <v>6.0100000000000001E-2</v>
      </c>
      <c r="X202" s="3">
        <v>18.32</v>
      </c>
      <c r="Y202" s="1">
        <v>8425</v>
      </c>
      <c r="Z202" s="2">
        <v>2.2700000000000001E-2</v>
      </c>
      <c r="AA202" s="3">
        <v>7.75</v>
      </c>
      <c r="AB202" s="1">
        <v>6523</v>
      </c>
      <c r="AC202" s="2">
        <v>1.3299999999999999E-2</v>
      </c>
      <c r="AD202" s="3">
        <v>10.25</v>
      </c>
      <c r="AE202" s="1">
        <v>11570</v>
      </c>
      <c r="AF202" s="2">
        <v>1.6400000000000001E-2</v>
      </c>
      <c r="AG202" s="3">
        <v>14.71</v>
      </c>
    </row>
    <row r="203" spans="1:33" x14ac:dyDescent="0.75">
      <c r="A203" t="s">
        <v>239</v>
      </c>
      <c r="B203" s="1">
        <v>7130</v>
      </c>
      <c r="C203" s="2">
        <v>0.53520000000000001</v>
      </c>
      <c r="D203" s="2">
        <v>0.46479999999999999</v>
      </c>
      <c r="E203" s="2">
        <v>0</v>
      </c>
      <c r="F203" s="1">
        <v>7093</v>
      </c>
      <c r="G203">
        <v>37</v>
      </c>
      <c r="H203" s="1">
        <v>2348</v>
      </c>
      <c r="I203" s="1">
        <v>4782</v>
      </c>
      <c r="J203" s="2">
        <v>0.69520000000000004</v>
      </c>
      <c r="K203" s="2">
        <v>5.7999999999999996E-3</v>
      </c>
      <c r="L203" s="2">
        <v>1.01E-2</v>
      </c>
      <c r="M203" s="2">
        <v>3.44E-2</v>
      </c>
      <c r="N203" s="2">
        <v>0.1804</v>
      </c>
      <c r="O203" s="2">
        <v>7.4200000000000002E-2</v>
      </c>
      <c r="P203" s="2">
        <v>0.32400000000000001</v>
      </c>
      <c r="Q203" s="2">
        <v>4.8099999999999997E-2</v>
      </c>
      <c r="R203">
        <v>5.24</v>
      </c>
      <c r="S203" s="1">
        <v>83402</v>
      </c>
      <c r="T203" s="2">
        <v>7.0800000000000002E-2</v>
      </c>
      <c r="U203" s="3">
        <v>31.49</v>
      </c>
      <c r="V203" s="1">
        <v>18466</v>
      </c>
      <c r="W203" s="2">
        <v>2.69E-2</v>
      </c>
      <c r="X203" s="3">
        <v>18.350000000000001</v>
      </c>
      <c r="Y203" s="1">
        <v>4151</v>
      </c>
      <c r="Z203" s="2">
        <v>1.26E-2</v>
      </c>
      <c r="AA203" s="3">
        <v>8.83</v>
      </c>
      <c r="AB203" s="1">
        <v>3873</v>
      </c>
      <c r="AC203" s="2">
        <v>8.3000000000000001E-3</v>
      </c>
      <c r="AD203" s="3">
        <v>12.43</v>
      </c>
      <c r="AE203" s="1">
        <v>4746</v>
      </c>
      <c r="AF203" s="2">
        <v>9.4000000000000004E-3</v>
      </c>
      <c r="AG203" s="3">
        <v>13.47</v>
      </c>
    </row>
    <row r="204" spans="1:33" x14ac:dyDescent="0.75">
      <c r="A204" t="s">
        <v>240</v>
      </c>
      <c r="B204" s="1">
        <v>6998</v>
      </c>
      <c r="C204" s="2">
        <v>1</v>
      </c>
      <c r="D204" s="2">
        <v>0</v>
      </c>
      <c r="E204" s="2">
        <v>0</v>
      </c>
      <c r="F204" s="1">
        <v>6722</v>
      </c>
      <c r="G204">
        <v>276</v>
      </c>
      <c r="H204" s="1">
        <v>4018</v>
      </c>
      <c r="I204" s="1">
        <v>2980</v>
      </c>
      <c r="J204" s="2">
        <v>0.8831</v>
      </c>
      <c r="K204" s="2">
        <v>0</v>
      </c>
      <c r="L204" s="2">
        <v>2.8999999999999998E-3</v>
      </c>
      <c r="M204" s="2">
        <v>1.5299999999999999E-2</v>
      </c>
      <c r="N204" s="2">
        <v>8.4599999999999995E-2</v>
      </c>
      <c r="O204" s="2">
        <v>1.41E-2</v>
      </c>
      <c r="P204" s="2">
        <v>0.35370000000000001</v>
      </c>
      <c r="Q204" s="2">
        <v>5.7299999999999997E-2</v>
      </c>
      <c r="R204">
        <v>4.4000000000000004</v>
      </c>
      <c r="S204" s="1">
        <v>82476</v>
      </c>
      <c r="T204" s="2">
        <v>7.6399999999999996E-2</v>
      </c>
      <c r="U204" s="3">
        <v>35.08</v>
      </c>
      <c r="V204" s="1">
        <v>14499</v>
      </c>
      <c r="W204" s="2">
        <v>2.2700000000000001E-2</v>
      </c>
      <c r="X204" s="3">
        <v>20.73</v>
      </c>
      <c r="Y204" s="1">
        <v>6306</v>
      </c>
      <c r="Z204" s="2">
        <v>2.23E-2</v>
      </c>
      <c r="AA204" s="3">
        <v>9.17</v>
      </c>
      <c r="AB204" s="1">
        <v>2265</v>
      </c>
      <c r="AC204" s="2">
        <v>6.0000000000000001E-3</v>
      </c>
      <c r="AD204" s="3">
        <v>12.32</v>
      </c>
      <c r="AE204" s="1">
        <v>12894</v>
      </c>
      <c r="AF204" s="2">
        <v>3.9100000000000003E-2</v>
      </c>
      <c r="AG204" s="3">
        <v>10.72</v>
      </c>
    </row>
    <row r="205" spans="1:33" x14ac:dyDescent="0.75">
      <c r="A205" t="s">
        <v>241</v>
      </c>
      <c r="B205" s="1">
        <v>6971</v>
      </c>
      <c r="C205" s="2">
        <v>0.61580000000000001</v>
      </c>
      <c r="D205" s="2">
        <v>0.38419999999999999</v>
      </c>
      <c r="E205" s="2">
        <v>0</v>
      </c>
      <c r="F205" s="1">
        <v>6866</v>
      </c>
      <c r="G205">
        <v>105</v>
      </c>
      <c r="H205" s="1">
        <v>1355</v>
      </c>
      <c r="I205" s="1">
        <v>5616</v>
      </c>
      <c r="J205" s="2">
        <v>0.63460000000000005</v>
      </c>
      <c r="K205" s="2">
        <v>2.24E-2</v>
      </c>
      <c r="L205" s="2">
        <v>1.7600000000000001E-2</v>
      </c>
      <c r="M205" s="2">
        <v>8.8400000000000006E-2</v>
      </c>
      <c r="N205" s="2">
        <v>0.1908</v>
      </c>
      <c r="O205" s="2">
        <v>4.6199999999999998E-2</v>
      </c>
      <c r="P205" s="2">
        <v>0.34100000000000003</v>
      </c>
      <c r="Q205" s="2">
        <v>5.4899999999999997E-2</v>
      </c>
      <c r="R205">
        <v>4.0199999999999996</v>
      </c>
      <c r="S205" s="1">
        <v>72419</v>
      </c>
      <c r="T205" s="2">
        <v>7.0099999999999996E-2</v>
      </c>
      <c r="U205" s="3">
        <v>36.9</v>
      </c>
      <c r="V205" s="1">
        <v>23615</v>
      </c>
      <c r="W205" s="2">
        <v>4.2900000000000001E-2</v>
      </c>
      <c r="X205" s="3">
        <v>19.64</v>
      </c>
      <c r="Y205" s="1">
        <v>5170</v>
      </c>
      <c r="Z205" s="2">
        <v>2.1299999999999999E-2</v>
      </c>
      <c r="AA205" s="3">
        <v>8.68</v>
      </c>
      <c r="AB205" s="1">
        <v>19345</v>
      </c>
      <c r="AC205" s="2">
        <v>3.9199999999999999E-2</v>
      </c>
      <c r="AD205" s="3">
        <v>17.62</v>
      </c>
      <c r="AE205" s="1">
        <v>11759</v>
      </c>
      <c r="AF205" s="2">
        <v>2.5700000000000001E-2</v>
      </c>
      <c r="AG205" s="3">
        <v>16.329999999999998</v>
      </c>
    </row>
    <row r="206" spans="1:33" x14ac:dyDescent="0.75">
      <c r="A206" t="s">
        <v>242</v>
      </c>
      <c r="B206" s="1">
        <v>6964</v>
      </c>
      <c r="C206" s="2">
        <v>0.59609999999999996</v>
      </c>
      <c r="D206" s="2">
        <v>0.40389999999999998</v>
      </c>
      <c r="E206" s="2">
        <v>0</v>
      </c>
      <c r="F206" s="1">
        <v>6898</v>
      </c>
      <c r="G206">
        <v>66</v>
      </c>
      <c r="H206" s="1">
        <v>1482</v>
      </c>
      <c r="I206" s="1">
        <v>5482</v>
      </c>
      <c r="J206" s="2">
        <v>0.81020000000000003</v>
      </c>
      <c r="K206" s="2">
        <v>1E-4</v>
      </c>
      <c r="L206" s="2">
        <v>8.9999999999999998E-4</v>
      </c>
      <c r="M206" s="2">
        <v>4.2099999999999999E-2</v>
      </c>
      <c r="N206" s="2">
        <v>0.1147</v>
      </c>
      <c r="O206" s="2">
        <v>3.2000000000000001E-2</v>
      </c>
      <c r="P206" s="2">
        <v>0.2651</v>
      </c>
      <c r="Q206" s="2">
        <v>1.0200000000000001E-2</v>
      </c>
      <c r="R206">
        <v>4.5</v>
      </c>
      <c r="S206" s="1">
        <v>94944</v>
      </c>
      <c r="T206" s="2">
        <v>9.6600000000000005E-2</v>
      </c>
      <c r="U206" s="3">
        <v>31.33</v>
      </c>
      <c r="V206" s="1">
        <v>10098</v>
      </c>
      <c r="W206" s="2">
        <v>1.5299999999999999E-2</v>
      </c>
      <c r="X206" s="3">
        <v>21.05</v>
      </c>
      <c r="Y206" s="1">
        <v>3415</v>
      </c>
      <c r="Z206" s="2">
        <v>1.23E-2</v>
      </c>
      <c r="AA206" s="3">
        <v>8.8800000000000008</v>
      </c>
      <c r="AB206">
        <v>0</v>
      </c>
      <c r="AE206" s="1">
        <v>7646</v>
      </c>
      <c r="AF206" s="2">
        <v>2.1499999999999998E-2</v>
      </c>
      <c r="AG206" s="3">
        <v>11.36</v>
      </c>
    </row>
    <row r="207" spans="1:33" x14ac:dyDescent="0.75">
      <c r="A207" t="s">
        <v>243</v>
      </c>
      <c r="B207" s="1">
        <v>6951</v>
      </c>
      <c r="C207" s="2">
        <v>0.58740000000000003</v>
      </c>
      <c r="D207" s="2">
        <v>0.41260000000000002</v>
      </c>
      <c r="E207" s="2">
        <v>0</v>
      </c>
      <c r="F207" s="1">
        <v>6843</v>
      </c>
      <c r="G207">
        <v>108</v>
      </c>
      <c r="H207" s="1">
        <v>2406</v>
      </c>
      <c r="I207" s="1">
        <v>4545</v>
      </c>
      <c r="J207" s="2">
        <v>0.66979999999999995</v>
      </c>
      <c r="K207" s="2">
        <v>2.9999999999999997E-4</v>
      </c>
      <c r="L207" s="2">
        <v>2.2000000000000001E-3</v>
      </c>
      <c r="M207" s="2">
        <v>9.1800000000000007E-2</v>
      </c>
      <c r="N207" s="2">
        <v>0.16619999999999999</v>
      </c>
      <c r="O207" s="2">
        <v>6.9800000000000001E-2</v>
      </c>
      <c r="P207" s="2">
        <v>0.36499999999999999</v>
      </c>
      <c r="Q207" s="2">
        <v>0.08</v>
      </c>
      <c r="R207">
        <v>4.3499999999999996</v>
      </c>
      <c r="S207" s="1">
        <v>144404</v>
      </c>
      <c r="T207" s="2">
        <v>0.16869999999999999</v>
      </c>
      <c r="U207" s="3">
        <v>28.29</v>
      </c>
      <c r="V207" s="1">
        <v>38977</v>
      </c>
      <c r="W207" s="2">
        <v>6.3700000000000007E-2</v>
      </c>
      <c r="X207" s="3">
        <v>20.239999999999998</v>
      </c>
      <c r="Y207" s="1">
        <v>16905</v>
      </c>
      <c r="Z207" s="2">
        <v>6.3E-2</v>
      </c>
      <c r="AA207" s="3">
        <v>8.86</v>
      </c>
      <c r="AB207" s="1">
        <v>71831</v>
      </c>
      <c r="AC207" s="2">
        <v>9.3100000000000002E-2</v>
      </c>
      <c r="AD207" s="3">
        <v>25.51</v>
      </c>
      <c r="AE207" s="1">
        <v>10506</v>
      </c>
      <c r="AF207" s="2">
        <v>2.5700000000000001E-2</v>
      </c>
      <c r="AG207" s="3">
        <v>13.49</v>
      </c>
    </row>
    <row r="208" spans="1:33" x14ac:dyDescent="0.75">
      <c r="A208" t="s">
        <v>244</v>
      </c>
      <c r="B208" s="1">
        <v>6797</v>
      </c>
      <c r="C208" s="2">
        <v>0.52569999999999995</v>
      </c>
      <c r="D208" s="2">
        <v>0.4743</v>
      </c>
      <c r="E208" s="2">
        <v>0</v>
      </c>
      <c r="F208" s="1">
        <v>6731</v>
      </c>
      <c r="G208">
        <v>66</v>
      </c>
      <c r="H208" s="1">
        <v>2527</v>
      </c>
      <c r="I208" s="1">
        <v>4270</v>
      </c>
      <c r="J208" s="2">
        <v>0.78949999999999998</v>
      </c>
      <c r="K208" s="2">
        <v>0</v>
      </c>
      <c r="L208" s="2">
        <v>4.0000000000000002E-4</v>
      </c>
      <c r="M208" s="2">
        <v>4.7399999999999998E-2</v>
      </c>
      <c r="N208" s="2">
        <v>0.1231</v>
      </c>
      <c r="O208" s="2">
        <v>3.9600000000000003E-2</v>
      </c>
      <c r="P208" s="2">
        <v>0.28999999999999998</v>
      </c>
      <c r="Q208" s="2">
        <v>3.3000000000000002E-2</v>
      </c>
      <c r="R208">
        <v>4.1399999999999997</v>
      </c>
      <c r="S208" s="1">
        <v>99981</v>
      </c>
      <c r="T208" s="2">
        <v>0.11840000000000001</v>
      </c>
      <c r="U208" s="3">
        <v>30.05</v>
      </c>
      <c r="V208" s="1">
        <v>39249</v>
      </c>
      <c r="W208" s="2">
        <v>7.0199999999999999E-2</v>
      </c>
      <c r="X208" s="3">
        <v>19.899999999999999</v>
      </c>
      <c r="Y208" s="1">
        <v>8527</v>
      </c>
      <c r="Z208" s="2">
        <v>3.49E-2</v>
      </c>
      <c r="AA208" s="3">
        <v>8.6999999999999993</v>
      </c>
      <c r="AB208" s="1">
        <v>2698</v>
      </c>
      <c r="AC208" s="2">
        <v>8.2000000000000007E-3</v>
      </c>
      <c r="AD208" s="3">
        <v>11.72</v>
      </c>
      <c r="AE208" s="1">
        <v>13117</v>
      </c>
      <c r="AF208" s="2">
        <v>3.9800000000000002E-2</v>
      </c>
      <c r="AG208" s="3">
        <v>11.74</v>
      </c>
    </row>
    <row r="209" spans="1:33" x14ac:dyDescent="0.75">
      <c r="A209" t="s">
        <v>245</v>
      </c>
      <c r="B209" s="1">
        <v>6753</v>
      </c>
      <c r="C209" s="2">
        <v>0.36470000000000002</v>
      </c>
      <c r="D209" s="2">
        <v>0.63529999999999998</v>
      </c>
      <c r="E209" s="2">
        <v>0</v>
      </c>
      <c r="F209" s="1">
        <v>6706</v>
      </c>
      <c r="G209">
        <v>47</v>
      </c>
      <c r="H209" s="1">
        <v>1798</v>
      </c>
      <c r="I209" s="1">
        <v>4955</v>
      </c>
      <c r="J209" s="2">
        <v>0.67269999999999996</v>
      </c>
      <c r="K209" s="2">
        <v>0</v>
      </c>
      <c r="L209" s="2">
        <v>1.0699999999999999E-2</v>
      </c>
      <c r="M209" s="2">
        <v>9.4799999999999995E-2</v>
      </c>
      <c r="N209" s="2">
        <v>0.17949999999999999</v>
      </c>
      <c r="O209" s="2">
        <v>4.24E-2</v>
      </c>
      <c r="P209" s="2">
        <v>0.19409999999999999</v>
      </c>
      <c r="Q209" s="2">
        <v>7.7600000000000002E-2</v>
      </c>
      <c r="R209">
        <v>6.05</v>
      </c>
      <c r="S209" s="1">
        <v>98752</v>
      </c>
      <c r="T209" s="2">
        <v>6.2899999999999998E-2</v>
      </c>
      <c r="U209" s="3">
        <v>38.39</v>
      </c>
      <c r="V209" s="1">
        <v>28829</v>
      </c>
      <c r="W209" s="2">
        <v>3.4299999999999997E-2</v>
      </c>
      <c r="X209" s="3">
        <v>20.57</v>
      </c>
      <c r="Y209" s="1">
        <v>11533</v>
      </c>
      <c r="Z209" s="2">
        <v>3.3799999999999997E-2</v>
      </c>
      <c r="AA209" s="3">
        <v>8.35</v>
      </c>
      <c r="AB209" s="1">
        <v>11412</v>
      </c>
      <c r="AC209" s="2">
        <v>2.1100000000000001E-2</v>
      </c>
      <c r="AD209" s="3">
        <v>13.23</v>
      </c>
      <c r="AE209" s="1">
        <v>3384</v>
      </c>
      <c r="AF209" s="2">
        <v>6.7999999999999996E-3</v>
      </c>
      <c r="AG209" s="3">
        <v>12.15</v>
      </c>
    </row>
    <row r="210" spans="1:33" x14ac:dyDescent="0.75">
      <c r="A210" t="s">
        <v>246</v>
      </c>
      <c r="B210" s="1">
        <v>6711</v>
      </c>
      <c r="C210" s="2">
        <v>1</v>
      </c>
      <c r="D210" s="2">
        <v>0</v>
      </c>
      <c r="E210" s="2">
        <v>0</v>
      </c>
      <c r="F210" s="1">
        <v>6656</v>
      </c>
      <c r="G210">
        <v>55</v>
      </c>
      <c r="H210" s="1">
        <v>2092</v>
      </c>
      <c r="I210" s="1">
        <v>4619</v>
      </c>
      <c r="J210" s="2">
        <v>0.78359999999999996</v>
      </c>
      <c r="K210" s="2">
        <v>2.3999999999999998E-3</v>
      </c>
      <c r="L210" s="2">
        <v>6.1000000000000004E-3</v>
      </c>
      <c r="M210" s="2">
        <v>2.2599999999999999E-2</v>
      </c>
      <c r="N210" s="2">
        <v>0.1343</v>
      </c>
      <c r="O210" s="2">
        <v>5.0999999999999997E-2</v>
      </c>
      <c r="P210" s="2">
        <v>0.35120000000000001</v>
      </c>
      <c r="Q210" s="2">
        <v>8.1699999999999995E-2</v>
      </c>
      <c r="R210">
        <v>2.92</v>
      </c>
      <c r="S210" s="1">
        <v>77448</v>
      </c>
      <c r="T210" s="2">
        <v>0.1206</v>
      </c>
      <c r="U210" s="3">
        <v>32.74</v>
      </c>
      <c r="V210" s="1">
        <v>14982</v>
      </c>
      <c r="W210" s="2">
        <v>4.5600000000000002E-2</v>
      </c>
      <c r="X210" s="3">
        <v>16.75</v>
      </c>
      <c r="Y210" s="1">
        <v>9691</v>
      </c>
      <c r="Z210" s="2">
        <v>5.0200000000000002E-2</v>
      </c>
      <c r="AA210" s="3">
        <v>9.83</v>
      </c>
      <c r="AB210">
        <v>420</v>
      </c>
      <c r="AC210" s="2">
        <v>2.3E-3</v>
      </c>
      <c r="AD210" s="3">
        <v>9.42</v>
      </c>
      <c r="AE210" s="1">
        <v>4975</v>
      </c>
      <c r="AF210" s="2">
        <v>7.1999999999999998E-3</v>
      </c>
      <c r="AG210" s="3">
        <v>35.18</v>
      </c>
    </row>
    <row r="211" spans="1:33" x14ac:dyDescent="0.75">
      <c r="A211" t="s">
        <v>247</v>
      </c>
      <c r="B211" s="1">
        <v>6411</v>
      </c>
      <c r="C211" s="2">
        <v>0.69650000000000001</v>
      </c>
      <c r="D211" s="2">
        <v>0.30349999999999999</v>
      </c>
      <c r="E211" s="2">
        <v>0</v>
      </c>
      <c r="F211" s="1">
        <v>6400</v>
      </c>
      <c r="G211">
        <v>11</v>
      </c>
      <c r="H211" s="1">
        <v>2047</v>
      </c>
      <c r="I211" s="1">
        <v>4364</v>
      </c>
      <c r="J211" s="2">
        <v>0.77690000000000003</v>
      </c>
      <c r="K211" s="2">
        <v>4.4999999999999997E-3</v>
      </c>
      <c r="L211" s="2">
        <v>1.1000000000000001E-3</v>
      </c>
      <c r="M211" s="2">
        <v>2.3199999999999998E-2</v>
      </c>
      <c r="N211" s="2">
        <v>0.14460000000000001</v>
      </c>
      <c r="O211" s="2">
        <v>4.9599999999999998E-2</v>
      </c>
      <c r="P211" s="2">
        <v>0.32679999999999998</v>
      </c>
      <c r="Q211" s="2">
        <v>5.0900000000000001E-2</v>
      </c>
      <c r="R211">
        <v>5.32</v>
      </c>
      <c r="S211" s="1">
        <v>90388</v>
      </c>
      <c r="T211" s="2">
        <v>7.17E-2</v>
      </c>
      <c r="U211" s="3">
        <v>36.94</v>
      </c>
      <c r="V211" s="1">
        <v>33467</v>
      </c>
      <c r="W211" s="2">
        <v>5.6800000000000003E-2</v>
      </c>
      <c r="X211" s="3">
        <v>17.27</v>
      </c>
      <c r="Y211" s="1">
        <v>10693</v>
      </c>
      <c r="Z211" s="2">
        <v>3.6700000000000003E-2</v>
      </c>
      <c r="AA211" s="3">
        <v>8.5299999999999994</v>
      </c>
      <c r="AB211" s="1">
        <v>7859</v>
      </c>
      <c r="AC211" s="2">
        <v>8.8999999999999999E-3</v>
      </c>
      <c r="AD211" s="3">
        <v>25.96</v>
      </c>
      <c r="AE211" s="1">
        <v>4488</v>
      </c>
      <c r="AF211" s="2">
        <v>9.7000000000000003E-3</v>
      </c>
      <c r="AG211" s="3">
        <v>13.62</v>
      </c>
    </row>
    <row r="212" spans="1:33" x14ac:dyDescent="0.75">
      <c r="A212" t="s">
        <v>248</v>
      </c>
      <c r="B212" s="1">
        <v>6381</v>
      </c>
      <c r="C212" s="2">
        <v>0.55349999999999999</v>
      </c>
      <c r="D212" s="2">
        <v>0.44650000000000001</v>
      </c>
      <c r="E212" s="2">
        <v>0</v>
      </c>
      <c r="F212" s="1">
        <v>6007</v>
      </c>
      <c r="G212">
        <v>374</v>
      </c>
      <c r="H212" s="1">
        <v>1204</v>
      </c>
      <c r="I212" s="1">
        <v>5177</v>
      </c>
      <c r="J212" s="2">
        <v>0.83540000000000003</v>
      </c>
      <c r="K212" s="2">
        <v>0</v>
      </c>
      <c r="L212" s="2">
        <v>0</v>
      </c>
      <c r="M212" s="2">
        <v>6.3899999999999998E-2</v>
      </c>
      <c r="N212" s="2">
        <v>9.5100000000000004E-2</v>
      </c>
      <c r="O212" s="2">
        <v>5.4999999999999997E-3</v>
      </c>
      <c r="P212" s="2">
        <v>0.2631</v>
      </c>
      <c r="Q212" s="2">
        <v>5.0799999999999998E-2</v>
      </c>
      <c r="R212">
        <v>4.5</v>
      </c>
      <c r="S212" s="1">
        <v>105045</v>
      </c>
      <c r="T212" s="2">
        <v>0.13300000000000001</v>
      </c>
      <c r="U212" s="3">
        <v>27.54</v>
      </c>
      <c r="V212" s="1">
        <v>20230</v>
      </c>
      <c r="W212" s="2">
        <v>4.8800000000000003E-2</v>
      </c>
      <c r="X212" s="3">
        <v>14.44</v>
      </c>
      <c r="Y212">
        <v>699</v>
      </c>
      <c r="Z212" s="2">
        <v>2.8999999999999998E-3</v>
      </c>
      <c r="AA212" s="3">
        <v>8.33</v>
      </c>
      <c r="AB212">
        <v>94</v>
      </c>
      <c r="AC212" s="2">
        <v>2.0000000000000001E-4</v>
      </c>
      <c r="AD212" s="3">
        <v>13.99</v>
      </c>
      <c r="AE212" s="1">
        <v>6083</v>
      </c>
      <c r="AF212" s="2">
        <v>1.2200000000000001E-2</v>
      </c>
      <c r="AG212" s="3">
        <v>17.36</v>
      </c>
    </row>
    <row r="213" spans="1:33" x14ac:dyDescent="0.75">
      <c r="A213" t="s">
        <v>249</v>
      </c>
      <c r="B213" s="1">
        <v>6278</v>
      </c>
      <c r="C213" s="2">
        <v>0.56559999999999999</v>
      </c>
      <c r="D213" s="2">
        <v>0.43440000000000001</v>
      </c>
      <c r="E213" s="2">
        <v>0</v>
      </c>
      <c r="F213" s="1">
        <v>6212</v>
      </c>
      <c r="G213">
        <v>66</v>
      </c>
      <c r="H213" s="1">
        <v>2405</v>
      </c>
      <c r="I213" s="1">
        <v>3873</v>
      </c>
      <c r="J213" s="2">
        <v>0.83899999999999997</v>
      </c>
      <c r="K213" s="2">
        <v>2.9999999999999997E-4</v>
      </c>
      <c r="L213" s="2">
        <v>2.9999999999999997E-4</v>
      </c>
      <c r="M213" s="2">
        <v>9.5999999999999992E-3</v>
      </c>
      <c r="N213" s="2">
        <v>0.13139999999999999</v>
      </c>
      <c r="O213" s="2">
        <v>1.9400000000000001E-2</v>
      </c>
      <c r="P213" s="2">
        <v>0.26939999999999997</v>
      </c>
      <c r="Q213" s="2">
        <v>4.7899999999999998E-2</v>
      </c>
      <c r="R213">
        <v>5.49</v>
      </c>
      <c r="S213" s="1">
        <v>78415</v>
      </c>
      <c r="T213" s="2">
        <v>6.8599999999999994E-2</v>
      </c>
      <c r="U213" s="3">
        <v>33.17</v>
      </c>
      <c r="V213" s="1">
        <v>19395</v>
      </c>
      <c r="W213" s="2">
        <v>2.5999999999999999E-2</v>
      </c>
      <c r="X213" s="3">
        <v>21.64</v>
      </c>
      <c r="Y213" s="1">
        <v>2482</v>
      </c>
      <c r="Z213" s="2">
        <v>7.7999999999999996E-3</v>
      </c>
      <c r="AA213" s="3">
        <v>9.2899999999999991</v>
      </c>
      <c r="AB213" s="1">
        <v>1902</v>
      </c>
      <c r="AC213" s="2">
        <v>4.0000000000000001E-3</v>
      </c>
      <c r="AD213" s="3">
        <v>13.71</v>
      </c>
      <c r="AE213" s="1">
        <v>9483</v>
      </c>
      <c r="AF213" s="2">
        <v>3.32E-2</v>
      </c>
      <c r="AG213" s="3">
        <v>8.2799999999999994</v>
      </c>
    </row>
    <row r="214" spans="1:33" x14ac:dyDescent="0.75">
      <c r="A214" t="s">
        <v>250</v>
      </c>
      <c r="B214" s="1">
        <v>6152</v>
      </c>
      <c r="C214" s="2">
        <v>0.58530000000000004</v>
      </c>
      <c r="D214" s="2">
        <v>0.41470000000000001</v>
      </c>
      <c r="E214" s="2">
        <v>0</v>
      </c>
      <c r="F214" s="1">
        <v>6026</v>
      </c>
      <c r="G214">
        <v>126</v>
      </c>
      <c r="H214" s="1">
        <v>1892</v>
      </c>
      <c r="I214" s="1">
        <v>4260</v>
      </c>
      <c r="J214" s="2">
        <v>0.72289999999999999</v>
      </c>
      <c r="K214" s="2">
        <v>2.0000000000000001E-4</v>
      </c>
      <c r="L214" s="2">
        <v>6.9999999999999999E-4</v>
      </c>
      <c r="M214" s="2">
        <v>2.8799999999999999E-2</v>
      </c>
      <c r="N214" s="2">
        <v>0.22120000000000001</v>
      </c>
      <c r="O214" s="2">
        <v>2.63E-2</v>
      </c>
      <c r="P214" s="2">
        <v>0.31659999999999999</v>
      </c>
      <c r="Q214" s="2">
        <v>3.9199999999999999E-2</v>
      </c>
      <c r="R214">
        <v>4</v>
      </c>
      <c r="S214" s="1">
        <v>90052</v>
      </c>
      <c r="T214" s="2">
        <v>0.1013</v>
      </c>
      <c r="U214" s="3">
        <v>36.15</v>
      </c>
      <c r="V214" s="1">
        <v>10405</v>
      </c>
      <c r="W214" s="2">
        <v>2.1399999999999999E-2</v>
      </c>
      <c r="X214" s="3">
        <v>19.760000000000002</v>
      </c>
      <c r="Y214" s="1">
        <v>8419</v>
      </c>
      <c r="Z214" s="2">
        <v>3.7499999999999999E-2</v>
      </c>
      <c r="AA214" s="3">
        <v>9.1300000000000008</v>
      </c>
      <c r="AB214">
        <v>820</v>
      </c>
      <c r="AC214" s="2">
        <v>2.3999999999999998E-3</v>
      </c>
      <c r="AD214" s="3">
        <v>14.1</v>
      </c>
      <c r="AE214" s="1">
        <v>18759</v>
      </c>
      <c r="AF214" s="2">
        <v>5.5199999999999999E-2</v>
      </c>
      <c r="AG214" s="3">
        <v>13.82</v>
      </c>
    </row>
    <row r="215" spans="1:33" x14ac:dyDescent="0.75">
      <c r="A215" t="s">
        <v>251</v>
      </c>
      <c r="B215" s="1">
        <v>6014</v>
      </c>
      <c r="C215" s="2">
        <v>0.4985</v>
      </c>
      <c r="D215" s="2">
        <v>0.50149999999999995</v>
      </c>
      <c r="E215" s="2">
        <v>0</v>
      </c>
      <c r="F215" s="1">
        <v>5969</v>
      </c>
      <c r="G215">
        <v>45</v>
      </c>
      <c r="H215" s="1">
        <v>1153</v>
      </c>
      <c r="I215" s="1">
        <v>4861</v>
      </c>
      <c r="J215" s="2">
        <v>0.84840000000000004</v>
      </c>
      <c r="K215" s="2">
        <v>0</v>
      </c>
      <c r="L215" s="2">
        <v>3.5000000000000001E-3</v>
      </c>
      <c r="M215" s="2">
        <v>5.1999999999999998E-3</v>
      </c>
      <c r="N215" s="2">
        <v>0.12790000000000001</v>
      </c>
      <c r="O215" s="2">
        <v>1.5100000000000001E-2</v>
      </c>
      <c r="P215" s="2">
        <v>0.2571</v>
      </c>
      <c r="Q215" s="2">
        <v>9.06E-2</v>
      </c>
      <c r="R215">
        <v>4.67</v>
      </c>
      <c r="S215" s="1">
        <v>75002</v>
      </c>
      <c r="T215" s="2">
        <v>9.1300000000000006E-2</v>
      </c>
      <c r="U215" s="3">
        <v>29.28</v>
      </c>
      <c r="V215" s="1">
        <v>12610</v>
      </c>
      <c r="W215" s="2">
        <v>2.8000000000000001E-2</v>
      </c>
      <c r="X215" s="3">
        <v>16.04</v>
      </c>
      <c r="Y215" s="1">
        <v>2965</v>
      </c>
      <c r="Z215" s="2">
        <v>1.2500000000000001E-2</v>
      </c>
      <c r="AA215" s="3">
        <v>8.4700000000000006</v>
      </c>
      <c r="AB215">
        <v>973</v>
      </c>
      <c r="AC215" s="2">
        <v>2.7000000000000001E-3</v>
      </c>
      <c r="AD215" s="3">
        <v>12.7</v>
      </c>
      <c r="AE215" s="1">
        <v>6757</v>
      </c>
      <c r="AF215" s="2">
        <v>1.3299999999999999E-2</v>
      </c>
      <c r="AG215" s="3">
        <v>18.07</v>
      </c>
    </row>
    <row r="216" spans="1:33" x14ac:dyDescent="0.75">
      <c r="A216" t="s">
        <v>252</v>
      </c>
      <c r="B216" s="1">
        <v>5996</v>
      </c>
      <c r="C216" s="2">
        <v>0.70230000000000004</v>
      </c>
      <c r="D216" s="2">
        <v>0.29770000000000002</v>
      </c>
      <c r="E216" s="2">
        <v>0</v>
      </c>
      <c r="F216" s="1">
        <v>5966</v>
      </c>
      <c r="G216">
        <v>30</v>
      </c>
      <c r="H216" s="1">
        <v>2433</v>
      </c>
      <c r="I216" s="1">
        <v>3563</v>
      </c>
      <c r="J216" s="2">
        <v>0.78320000000000001</v>
      </c>
      <c r="K216" s="2">
        <v>2.9999999999999997E-4</v>
      </c>
      <c r="L216" s="2">
        <v>1.67E-2</v>
      </c>
      <c r="M216" s="2">
        <v>1.77E-2</v>
      </c>
      <c r="N216" s="2">
        <v>0.1399</v>
      </c>
      <c r="O216" s="2">
        <v>4.2200000000000001E-2</v>
      </c>
      <c r="P216" s="2">
        <v>0.37930000000000003</v>
      </c>
      <c r="Q216" s="2">
        <v>5.7000000000000002E-3</v>
      </c>
      <c r="R216">
        <v>4.1399999999999997</v>
      </c>
      <c r="S216" s="1">
        <v>53303</v>
      </c>
      <c r="T216" s="2">
        <v>0.1464</v>
      </c>
      <c r="U216" s="3">
        <v>14.69</v>
      </c>
      <c r="V216" s="1">
        <v>14072</v>
      </c>
      <c r="W216" s="2">
        <v>2.9899999999999999E-2</v>
      </c>
      <c r="X216" s="3">
        <v>19.010000000000002</v>
      </c>
      <c r="Y216" s="1">
        <v>8055</v>
      </c>
      <c r="Z216" s="2">
        <v>3.9100000000000003E-2</v>
      </c>
      <c r="AA216" s="3">
        <v>8.31</v>
      </c>
      <c r="AB216" s="1">
        <v>8109</v>
      </c>
      <c r="AC216" s="2">
        <v>1.34E-2</v>
      </c>
      <c r="AD216" s="3">
        <v>24.49</v>
      </c>
      <c r="AE216" s="1">
        <v>10012</v>
      </c>
      <c r="AF216" s="2">
        <v>2.75E-2</v>
      </c>
      <c r="AG216" s="3">
        <v>14.68</v>
      </c>
    </row>
    <row r="217" spans="1:33" x14ac:dyDescent="0.75">
      <c r="A217" t="s">
        <v>253</v>
      </c>
      <c r="B217" s="1">
        <v>5976</v>
      </c>
      <c r="C217" s="2">
        <v>0.69430000000000003</v>
      </c>
      <c r="D217" s="2">
        <v>0.30570000000000003</v>
      </c>
      <c r="E217" s="2">
        <v>0</v>
      </c>
      <c r="F217" s="1">
        <v>5919</v>
      </c>
      <c r="G217">
        <v>57</v>
      </c>
      <c r="H217" s="1">
        <v>1701</v>
      </c>
      <c r="I217" s="1">
        <v>4275</v>
      </c>
      <c r="J217" s="2">
        <v>0.82040000000000002</v>
      </c>
      <c r="K217" s="2">
        <v>6.0000000000000001E-3</v>
      </c>
      <c r="L217" s="2">
        <v>2.9999999999999997E-4</v>
      </c>
      <c r="M217" s="2">
        <v>1.0500000000000001E-2</v>
      </c>
      <c r="N217" s="2">
        <v>0.14710000000000001</v>
      </c>
      <c r="O217" s="2">
        <v>1.5599999999999999E-2</v>
      </c>
      <c r="P217" s="2">
        <v>0.27729999999999999</v>
      </c>
      <c r="Q217" s="2">
        <v>0.1128</v>
      </c>
      <c r="R217">
        <v>4.68</v>
      </c>
      <c r="S217" s="1">
        <v>135843</v>
      </c>
      <c r="T217" s="2">
        <v>0.1628</v>
      </c>
      <c r="U217" s="3">
        <v>29.84</v>
      </c>
      <c r="V217" s="1">
        <v>11777</v>
      </c>
      <c r="W217" s="2">
        <v>2.2100000000000002E-2</v>
      </c>
      <c r="X217" s="3">
        <v>19.09</v>
      </c>
      <c r="Y217" s="1">
        <v>10064</v>
      </c>
      <c r="Z217" s="2">
        <v>4.07E-2</v>
      </c>
      <c r="AA217" s="3">
        <v>8.85</v>
      </c>
      <c r="AB217">
        <v>984</v>
      </c>
      <c r="AC217" s="2">
        <v>1.8E-3</v>
      </c>
      <c r="AD217" s="3">
        <v>19.03</v>
      </c>
      <c r="AE217" s="1">
        <v>6126</v>
      </c>
      <c r="AF217" s="2">
        <v>1.6E-2</v>
      </c>
      <c r="AG217" s="3">
        <v>13.68</v>
      </c>
    </row>
    <row r="218" spans="1:33" x14ac:dyDescent="0.75">
      <c r="A218" t="s">
        <v>254</v>
      </c>
      <c r="B218" s="1">
        <v>5960</v>
      </c>
      <c r="C218" s="2">
        <v>0.43640000000000001</v>
      </c>
      <c r="D218" s="2">
        <v>0.56359999999999999</v>
      </c>
      <c r="E218" s="2">
        <v>0</v>
      </c>
      <c r="F218" s="1">
        <v>5943</v>
      </c>
      <c r="G218">
        <v>17</v>
      </c>
      <c r="H218" s="1">
        <v>1464</v>
      </c>
      <c r="I218" s="1">
        <v>4496</v>
      </c>
      <c r="J218" s="2">
        <v>0.80020000000000002</v>
      </c>
      <c r="K218" s="2">
        <v>8.0000000000000004E-4</v>
      </c>
      <c r="L218" s="2">
        <v>2.9999999999999997E-4</v>
      </c>
      <c r="M218" s="2">
        <v>2.1000000000000001E-2</v>
      </c>
      <c r="N218" s="2">
        <v>0.1421</v>
      </c>
      <c r="O218" s="2">
        <v>3.56E-2</v>
      </c>
      <c r="P218" s="2">
        <v>0.25269999999999998</v>
      </c>
      <c r="Q218" s="2">
        <v>4.3099999999999999E-2</v>
      </c>
      <c r="R218">
        <v>5.3</v>
      </c>
      <c r="S218" s="1">
        <v>110815</v>
      </c>
      <c r="T218" s="2">
        <v>0.1002</v>
      </c>
      <c r="U218" s="3">
        <v>34.99</v>
      </c>
      <c r="V218" s="1">
        <v>13200</v>
      </c>
      <c r="W218" s="2">
        <v>2.0400000000000001E-2</v>
      </c>
      <c r="X218" s="3">
        <v>20.51</v>
      </c>
      <c r="Y218" s="1">
        <v>7307</v>
      </c>
      <c r="Z218" s="2">
        <v>2.5899999999999999E-2</v>
      </c>
      <c r="AA218" s="3">
        <v>8.93</v>
      </c>
      <c r="AB218" s="1">
        <v>3418</v>
      </c>
      <c r="AC218" s="2">
        <v>8.6E-3</v>
      </c>
      <c r="AD218" s="3">
        <v>12.59</v>
      </c>
      <c r="AE218" s="1">
        <v>6719</v>
      </c>
      <c r="AF218" s="2">
        <v>1.8100000000000002E-2</v>
      </c>
      <c r="AG218" s="3">
        <v>11.77</v>
      </c>
    </row>
    <row r="219" spans="1:33" x14ac:dyDescent="0.75">
      <c r="A219" t="s">
        <v>255</v>
      </c>
      <c r="B219" s="1">
        <v>5925</v>
      </c>
      <c r="C219" s="2">
        <v>0.6704</v>
      </c>
      <c r="D219" s="2">
        <v>0.3296</v>
      </c>
      <c r="E219" s="2">
        <v>0</v>
      </c>
      <c r="F219" s="1">
        <v>5918</v>
      </c>
      <c r="G219">
        <v>7</v>
      </c>
      <c r="H219" s="1">
        <v>1801</v>
      </c>
      <c r="I219" s="1">
        <v>4124</v>
      </c>
      <c r="J219" s="2">
        <v>0.77470000000000006</v>
      </c>
      <c r="K219" s="2">
        <v>1.01E-2</v>
      </c>
      <c r="L219" s="2">
        <v>1.9699999999999999E-2</v>
      </c>
      <c r="M219" s="2">
        <v>4.0500000000000001E-2</v>
      </c>
      <c r="N219" s="2">
        <v>9.4700000000000006E-2</v>
      </c>
      <c r="O219" s="2">
        <v>6.0299999999999999E-2</v>
      </c>
      <c r="P219" s="2">
        <v>0.35510000000000003</v>
      </c>
      <c r="Q219" s="2">
        <v>7.3200000000000001E-2</v>
      </c>
      <c r="R219">
        <v>3.52</v>
      </c>
      <c r="S219" s="1">
        <v>95968</v>
      </c>
      <c r="T219" s="2">
        <v>0.12429999999999999</v>
      </c>
      <c r="U219" s="3">
        <v>37.06</v>
      </c>
      <c r="V219" s="1">
        <v>24044</v>
      </c>
      <c r="W219" s="2">
        <v>5.3900000000000003E-2</v>
      </c>
      <c r="X219" s="3">
        <v>21.43</v>
      </c>
      <c r="Y219" s="1">
        <v>4767</v>
      </c>
      <c r="Z219" s="2">
        <v>2.41E-2</v>
      </c>
      <c r="AA219" s="3">
        <v>9.5</v>
      </c>
      <c r="AB219" s="1">
        <v>6542</v>
      </c>
      <c r="AC219" s="2">
        <v>2.58E-2</v>
      </c>
      <c r="AD219" s="3">
        <v>12.19</v>
      </c>
      <c r="AE219" s="1">
        <v>7629</v>
      </c>
      <c r="AF219" s="2">
        <v>3.3700000000000001E-2</v>
      </c>
      <c r="AG219" s="3">
        <v>10.87</v>
      </c>
    </row>
    <row r="220" spans="1:33" x14ac:dyDescent="0.75">
      <c r="A220" t="s">
        <v>256</v>
      </c>
      <c r="B220" s="1">
        <v>5847</v>
      </c>
      <c r="C220" s="2">
        <v>0.50860000000000005</v>
      </c>
      <c r="D220" s="2">
        <v>0.4914</v>
      </c>
      <c r="E220" s="2">
        <v>0</v>
      </c>
      <c r="F220" s="1">
        <v>5777</v>
      </c>
      <c r="G220">
        <v>70</v>
      </c>
      <c r="H220" s="1">
        <v>1234</v>
      </c>
      <c r="I220" s="1">
        <v>4613</v>
      </c>
      <c r="J220" s="2">
        <v>0.64939999999999998</v>
      </c>
      <c r="K220" s="2">
        <v>5.0000000000000001E-3</v>
      </c>
      <c r="L220" s="2">
        <v>5.4999999999999997E-3</v>
      </c>
      <c r="M220" s="2">
        <v>5.28E-2</v>
      </c>
      <c r="N220" s="2">
        <v>0.2175</v>
      </c>
      <c r="O220" s="2">
        <v>6.9800000000000001E-2</v>
      </c>
      <c r="P220" s="2">
        <v>0.26250000000000001</v>
      </c>
      <c r="Q220" s="2">
        <v>4.9299999999999997E-2</v>
      </c>
      <c r="R220">
        <v>4.3</v>
      </c>
      <c r="S220" s="1">
        <v>74599</v>
      </c>
      <c r="T220" s="2">
        <v>7.5200000000000003E-2</v>
      </c>
      <c r="U220" s="3">
        <v>39.44</v>
      </c>
      <c r="V220" s="1">
        <v>40166</v>
      </c>
      <c r="W220" s="2">
        <v>8.6699999999999999E-2</v>
      </c>
      <c r="X220" s="3">
        <v>18.420000000000002</v>
      </c>
      <c r="Y220" s="1">
        <v>1811</v>
      </c>
      <c r="Z220" s="2">
        <v>7.9000000000000008E-3</v>
      </c>
      <c r="AA220" s="3">
        <v>9.09</v>
      </c>
      <c r="AB220" s="1">
        <v>6297</v>
      </c>
      <c r="AC220" s="2">
        <v>1.7299999999999999E-2</v>
      </c>
      <c r="AD220" s="3">
        <v>14.45</v>
      </c>
      <c r="AE220" s="1">
        <v>1896</v>
      </c>
      <c r="AF220" s="2">
        <v>6.1000000000000004E-3</v>
      </c>
      <c r="AG220" s="3">
        <v>12.26</v>
      </c>
    </row>
    <row r="221" spans="1:33" x14ac:dyDescent="0.75">
      <c r="A221" t="s">
        <v>257</v>
      </c>
      <c r="B221" s="1">
        <v>5820</v>
      </c>
      <c r="C221" s="2">
        <v>0.51549999999999996</v>
      </c>
      <c r="D221" s="2">
        <v>0.48449999999999999</v>
      </c>
      <c r="E221" s="2">
        <v>0</v>
      </c>
      <c r="F221" s="1">
        <v>5696</v>
      </c>
      <c r="G221">
        <v>124</v>
      </c>
      <c r="H221" s="1">
        <v>1718</v>
      </c>
      <c r="I221" s="1">
        <v>4102</v>
      </c>
      <c r="J221" s="2">
        <v>0.8105</v>
      </c>
      <c r="K221" s="2">
        <v>0</v>
      </c>
      <c r="L221" s="2">
        <v>6.9999999999999999E-4</v>
      </c>
      <c r="M221" s="2">
        <v>2.2000000000000001E-3</v>
      </c>
      <c r="N221" s="2">
        <v>0.15</v>
      </c>
      <c r="O221" s="2">
        <v>3.6600000000000001E-2</v>
      </c>
      <c r="P221" s="2">
        <v>0.28989999999999999</v>
      </c>
      <c r="Q221" s="2">
        <v>4.7399999999999998E-2</v>
      </c>
      <c r="R221">
        <v>4.5599999999999996</v>
      </c>
      <c r="S221" s="1">
        <v>102913</v>
      </c>
      <c r="T221" s="2">
        <v>0.1191</v>
      </c>
      <c r="U221" s="3">
        <v>32.58</v>
      </c>
      <c r="V221" s="1">
        <v>18203</v>
      </c>
      <c r="W221" s="2">
        <v>3.6499999999999998E-2</v>
      </c>
      <c r="X221" s="3">
        <v>18.8</v>
      </c>
      <c r="Y221" s="1">
        <v>6085</v>
      </c>
      <c r="Z221" s="2">
        <v>2.5999999999999999E-2</v>
      </c>
      <c r="AA221" s="3">
        <v>8.81</v>
      </c>
      <c r="AB221" s="1">
        <v>4612</v>
      </c>
      <c r="AC221" s="2">
        <v>1.34E-2</v>
      </c>
      <c r="AD221" s="3">
        <v>12.95</v>
      </c>
      <c r="AE221" s="1">
        <v>4196</v>
      </c>
      <c r="AF221" s="2">
        <v>1.23E-2</v>
      </c>
      <c r="AG221" s="3">
        <v>12.85</v>
      </c>
    </row>
    <row r="222" spans="1:33" x14ac:dyDescent="0.75">
      <c r="A222" t="s">
        <v>258</v>
      </c>
      <c r="B222" s="1">
        <v>5801</v>
      </c>
      <c r="C222" s="2">
        <v>0.47839999999999999</v>
      </c>
      <c r="D222" s="2">
        <v>0.52159999999999995</v>
      </c>
      <c r="E222" s="2">
        <v>0</v>
      </c>
      <c r="F222" s="1">
        <v>5764</v>
      </c>
      <c r="G222">
        <v>37</v>
      </c>
      <c r="H222" s="1">
        <v>2419</v>
      </c>
      <c r="I222" s="1">
        <v>3382</v>
      </c>
      <c r="J222" s="2">
        <v>0.75849999999999995</v>
      </c>
      <c r="K222" s="2">
        <v>1.4E-3</v>
      </c>
      <c r="L222" s="2">
        <v>3.5999999999999999E-3</v>
      </c>
      <c r="M222" s="2">
        <v>5.67E-2</v>
      </c>
      <c r="N222" s="2">
        <v>0.13289999999999999</v>
      </c>
      <c r="O222" s="2">
        <v>4.6899999999999997E-2</v>
      </c>
      <c r="P222" s="2">
        <v>0.27339999999999998</v>
      </c>
      <c r="Q222" s="2">
        <v>6.9000000000000006E-2</v>
      </c>
      <c r="R222">
        <v>4.88</v>
      </c>
      <c r="S222" s="1">
        <v>85115</v>
      </c>
      <c r="T222" s="2">
        <v>9.0700000000000003E-2</v>
      </c>
      <c r="U222" s="3">
        <v>33.14</v>
      </c>
      <c r="V222" s="1">
        <v>15289</v>
      </c>
      <c r="W222" s="2">
        <v>2.58E-2</v>
      </c>
      <c r="X222" s="3">
        <v>20.96</v>
      </c>
      <c r="Y222" s="1">
        <v>6273</v>
      </c>
      <c r="Z222" s="2">
        <v>2.4799999999999999E-2</v>
      </c>
      <c r="AA222" s="3">
        <v>8.94</v>
      </c>
      <c r="AB222" s="1">
        <v>5141</v>
      </c>
      <c r="AC222" s="2">
        <v>1.4200000000000001E-2</v>
      </c>
      <c r="AD222" s="3">
        <v>12.83</v>
      </c>
      <c r="AE222" s="1">
        <v>14885</v>
      </c>
      <c r="AF222" s="2">
        <v>3.1800000000000002E-2</v>
      </c>
      <c r="AG222" s="3">
        <v>16.54</v>
      </c>
    </row>
    <row r="223" spans="1:33" x14ac:dyDescent="0.75">
      <c r="A223" t="s">
        <v>259</v>
      </c>
      <c r="B223" s="1">
        <v>5780</v>
      </c>
      <c r="C223" s="2">
        <v>0.59970000000000001</v>
      </c>
      <c r="D223" s="2">
        <v>0.40029999999999999</v>
      </c>
      <c r="E223" s="2">
        <v>0</v>
      </c>
      <c r="F223" s="1">
        <v>5671</v>
      </c>
      <c r="G223">
        <v>109</v>
      </c>
      <c r="H223" s="1">
        <v>1372</v>
      </c>
      <c r="I223" s="1">
        <v>4408</v>
      </c>
      <c r="J223" s="2">
        <v>0.62370000000000003</v>
      </c>
      <c r="K223" s="2">
        <v>0</v>
      </c>
      <c r="L223" s="2">
        <v>2.1600000000000001E-2</v>
      </c>
      <c r="M223" s="2">
        <v>1.26E-2</v>
      </c>
      <c r="N223" s="2">
        <v>0.32150000000000001</v>
      </c>
      <c r="O223" s="2">
        <v>2.06E-2</v>
      </c>
      <c r="P223" s="2">
        <v>0.33029999999999998</v>
      </c>
      <c r="Q223" s="2">
        <v>2.1999999999999999E-2</v>
      </c>
      <c r="R223">
        <v>4.68</v>
      </c>
      <c r="S223" s="1">
        <v>59684</v>
      </c>
      <c r="T223" s="2">
        <v>5.6399999999999999E-2</v>
      </c>
      <c r="U223" s="3">
        <v>39.159999999999997</v>
      </c>
      <c r="V223" s="1">
        <v>11342</v>
      </c>
      <c r="W223" s="2">
        <v>2.1000000000000001E-2</v>
      </c>
      <c r="X223" s="3">
        <v>19.98</v>
      </c>
      <c r="Y223" s="1">
        <v>3306</v>
      </c>
      <c r="Z223" s="2">
        <v>1.47E-2</v>
      </c>
      <c r="AA223" s="3">
        <v>8.3000000000000007</v>
      </c>
      <c r="AB223">
        <v>0</v>
      </c>
      <c r="AE223" s="1">
        <v>9933</v>
      </c>
      <c r="AF223" s="2">
        <v>3.2399999999999998E-2</v>
      </c>
      <c r="AG223" s="3">
        <v>11.34</v>
      </c>
    </row>
    <row r="224" spans="1:33" x14ac:dyDescent="0.75">
      <c r="A224" t="s">
        <v>260</v>
      </c>
      <c r="B224" s="1">
        <v>5674</v>
      </c>
      <c r="C224" s="2">
        <v>0.56710000000000005</v>
      </c>
      <c r="D224" s="2">
        <v>0.43290000000000001</v>
      </c>
      <c r="E224" s="2">
        <v>0</v>
      </c>
      <c r="F224" s="1">
        <v>5595</v>
      </c>
      <c r="G224">
        <v>79</v>
      </c>
      <c r="H224" s="1">
        <v>2005</v>
      </c>
      <c r="I224" s="1">
        <v>3669</v>
      </c>
      <c r="J224" s="2">
        <v>0.73409999999999997</v>
      </c>
      <c r="K224" s="2">
        <v>1.09E-2</v>
      </c>
      <c r="L224" s="2">
        <v>2.1899999999999999E-2</v>
      </c>
      <c r="M224" s="2">
        <v>4.7600000000000003E-2</v>
      </c>
      <c r="N224" s="2">
        <v>0.15970000000000001</v>
      </c>
      <c r="O224" s="2">
        <v>2.5899999999999999E-2</v>
      </c>
      <c r="P224" s="2">
        <v>0.37130000000000002</v>
      </c>
      <c r="Q224" s="2">
        <v>5.4800000000000001E-2</v>
      </c>
      <c r="R224">
        <v>3.85</v>
      </c>
      <c r="S224" s="1">
        <v>81547</v>
      </c>
      <c r="T224" s="2">
        <v>0.1091</v>
      </c>
      <c r="U224" s="3">
        <v>34.19</v>
      </c>
      <c r="V224" s="1">
        <v>10171</v>
      </c>
      <c r="W224" s="2">
        <v>2.3099999999999999E-2</v>
      </c>
      <c r="X224" s="3">
        <v>20.100000000000001</v>
      </c>
      <c r="Y224" s="1">
        <v>9184</v>
      </c>
      <c r="Z224" s="2">
        <v>4.9299999999999997E-2</v>
      </c>
      <c r="AA224" s="3">
        <v>8.52</v>
      </c>
      <c r="AB224">
        <v>0</v>
      </c>
      <c r="AE224" s="1">
        <v>5022</v>
      </c>
      <c r="AF224" s="2">
        <v>1.4E-2</v>
      </c>
      <c r="AG224" s="3">
        <v>16.41</v>
      </c>
    </row>
    <row r="225" spans="1:33" x14ac:dyDescent="0.75">
      <c r="A225" t="s">
        <v>261</v>
      </c>
      <c r="B225" s="1">
        <v>5661</v>
      </c>
      <c r="C225" s="2">
        <v>0.53859999999999997</v>
      </c>
      <c r="D225" s="2">
        <v>0.46139999999999998</v>
      </c>
      <c r="E225" s="2">
        <v>0</v>
      </c>
      <c r="F225" s="1">
        <v>5599</v>
      </c>
      <c r="G225">
        <v>62</v>
      </c>
      <c r="H225" s="1">
        <v>1517</v>
      </c>
      <c r="I225" s="1">
        <v>4144</v>
      </c>
      <c r="J225" s="2">
        <v>0.75519999999999998</v>
      </c>
      <c r="K225" s="2">
        <v>2.0000000000000001E-4</v>
      </c>
      <c r="L225" s="2">
        <v>1.0800000000000001E-2</v>
      </c>
      <c r="M225" s="2">
        <v>2.3800000000000002E-2</v>
      </c>
      <c r="N225" s="2">
        <v>0.16039999999999999</v>
      </c>
      <c r="O225" s="2">
        <v>4.9599999999999998E-2</v>
      </c>
      <c r="P225" s="2">
        <v>0.30719999999999997</v>
      </c>
      <c r="Q225" s="2">
        <v>5.5300000000000002E-2</v>
      </c>
      <c r="R225">
        <v>4.4000000000000004</v>
      </c>
      <c r="S225" s="1">
        <v>94548</v>
      </c>
      <c r="T225" s="2">
        <v>0.1021</v>
      </c>
      <c r="U225" s="3">
        <v>37.19</v>
      </c>
      <c r="V225" s="1">
        <v>27362</v>
      </c>
      <c r="W225" s="2">
        <v>5.5100000000000003E-2</v>
      </c>
      <c r="X225" s="3">
        <v>19.93</v>
      </c>
      <c r="Y225" s="1">
        <v>12493</v>
      </c>
      <c r="Z225" s="2">
        <v>5.3800000000000001E-2</v>
      </c>
      <c r="AA225" s="3">
        <v>9.32</v>
      </c>
      <c r="AB225" s="1">
        <v>8625</v>
      </c>
      <c r="AC225" s="2">
        <v>2.63E-2</v>
      </c>
      <c r="AD225" s="3">
        <v>13.15</v>
      </c>
      <c r="AE225" s="1">
        <v>14477</v>
      </c>
      <c r="AF225" s="2">
        <v>2.6700000000000002E-2</v>
      </c>
      <c r="AG225" s="3">
        <v>21.75</v>
      </c>
    </row>
    <row r="226" spans="1:33" x14ac:dyDescent="0.75">
      <c r="A226" t="s">
        <v>262</v>
      </c>
      <c r="B226" s="1">
        <v>5653</v>
      </c>
      <c r="C226" s="2">
        <v>0.59460000000000002</v>
      </c>
      <c r="D226" s="2">
        <v>0.40539999999999998</v>
      </c>
      <c r="E226" s="2">
        <v>0</v>
      </c>
      <c r="F226" s="1">
        <v>5575</v>
      </c>
      <c r="G226">
        <v>78</v>
      </c>
      <c r="H226" s="1">
        <v>2119</v>
      </c>
      <c r="I226" s="1">
        <v>3534</v>
      </c>
      <c r="J226" s="2">
        <v>0.76739999999999997</v>
      </c>
      <c r="K226" s="2">
        <v>1.77E-2</v>
      </c>
      <c r="L226" s="2">
        <v>1.8E-3</v>
      </c>
      <c r="M226" s="2">
        <v>5.1299999999999998E-2</v>
      </c>
      <c r="N226" s="2">
        <v>0.13</v>
      </c>
      <c r="O226" s="2">
        <v>3.1800000000000002E-2</v>
      </c>
      <c r="P226" s="2">
        <v>0.33329999999999999</v>
      </c>
      <c r="Q226" s="2">
        <v>3.6799999999999999E-2</v>
      </c>
      <c r="R226">
        <v>4.42</v>
      </c>
      <c r="S226" s="1">
        <v>47511</v>
      </c>
      <c r="T226" s="2">
        <v>5.0900000000000001E-2</v>
      </c>
      <c r="U226" s="3">
        <v>37.35</v>
      </c>
      <c r="V226" s="1">
        <v>10057</v>
      </c>
      <c r="W226" s="2">
        <v>1.9199999999999998E-2</v>
      </c>
      <c r="X226" s="3">
        <v>20.91</v>
      </c>
      <c r="Y226" s="1">
        <v>3484</v>
      </c>
      <c r="Z226" s="2">
        <v>1.5299999999999999E-2</v>
      </c>
      <c r="AA226" s="3">
        <v>9.08</v>
      </c>
      <c r="AB226" s="1">
        <v>3108</v>
      </c>
      <c r="AC226" s="2">
        <v>1.0999999999999999E-2</v>
      </c>
      <c r="AD226" s="3">
        <v>11.35</v>
      </c>
      <c r="AE226" s="1">
        <v>1606</v>
      </c>
      <c r="AF226" s="2">
        <v>3.0000000000000001E-3</v>
      </c>
      <c r="AG226" s="3">
        <v>21.24</v>
      </c>
    </row>
    <row r="227" spans="1:33" x14ac:dyDescent="0.75">
      <c r="A227" t="s">
        <v>263</v>
      </c>
      <c r="B227" s="1">
        <v>5626</v>
      </c>
      <c r="C227" s="2">
        <v>1</v>
      </c>
      <c r="D227" s="2">
        <v>0</v>
      </c>
      <c r="E227" s="2">
        <v>0</v>
      </c>
      <c r="F227" s="1">
        <v>5505</v>
      </c>
      <c r="G227">
        <v>121</v>
      </c>
      <c r="H227" s="1">
        <v>1528</v>
      </c>
      <c r="I227" s="1">
        <v>4098</v>
      </c>
      <c r="J227" s="2">
        <v>0.77429999999999999</v>
      </c>
      <c r="K227" s="2">
        <v>4.0000000000000002E-4</v>
      </c>
      <c r="L227" s="2">
        <v>5.0000000000000001E-4</v>
      </c>
      <c r="M227" s="2">
        <v>1.72E-2</v>
      </c>
      <c r="N227" s="2">
        <v>0.16300000000000001</v>
      </c>
      <c r="O227" s="2">
        <v>4.4600000000000001E-2</v>
      </c>
      <c r="P227" s="2">
        <v>0.38800000000000001</v>
      </c>
      <c r="Q227" s="2">
        <v>3.9100000000000003E-2</v>
      </c>
      <c r="R227">
        <v>4.5599999999999996</v>
      </c>
      <c r="S227" s="1">
        <v>115354</v>
      </c>
      <c r="T227" s="2">
        <v>0.13569999999999999</v>
      </c>
      <c r="U227" s="3">
        <v>33.130000000000003</v>
      </c>
      <c r="V227" s="1">
        <v>32045</v>
      </c>
      <c r="W227" s="2">
        <v>7.1199999999999999E-2</v>
      </c>
      <c r="X227" s="3">
        <v>17.55</v>
      </c>
      <c r="Y227" s="1">
        <v>3188</v>
      </c>
      <c r="Z227" s="2">
        <v>1.4999999999999999E-2</v>
      </c>
      <c r="AA227" s="3">
        <v>8.27</v>
      </c>
      <c r="AB227" s="1">
        <v>8870</v>
      </c>
      <c r="AC227" s="2">
        <v>2.8299999999999999E-2</v>
      </c>
      <c r="AD227" s="3">
        <v>12.2</v>
      </c>
      <c r="AE227" s="1">
        <v>6457</v>
      </c>
      <c r="AF227" s="2">
        <v>7.7999999999999996E-3</v>
      </c>
      <c r="AG227" s="3">
        <v>32.43</v>
      </c>
    </row>
    <row r="228" spans="1:33" x14ac:dyDescent="0.75">
      <c r="A228" t="s">
        <v>264</v>
      </c>
      <c r="B228" s="1">
        <v>5552</v>
      </c>
      <c r="C228" s="2">
        <v>0.58630000000000004</v>
      </c>
      <c r="D228" s="2">
        <v>0.41370000000000001</v>
      </c>
      <c r="E228" s="2">
        <v>0</v>
      </c>
      <c r="F228" s="1">
        <v>5479</v>
      </c>
      <c r="G228">
        <v>73</v>
      </c>
      <c r="H228" s="1">
        <v>2142</v>
      </c>
      <c r="I228" s="1">
        <v>3410</v>
      </c>
      <c r="J228" s="2">
        <v>0.76910000000000001</v>
      </c>
      <c r="K228" s="2">
        <v>0</v>
      </c>
      <c r="L228" s="2">
        <v>5.4000000000000003E-3</v>
      </c>
      <c r="M228" s="2">
        <v>2.0500000000000001E-2</v>
      </c>
      <c r="N228" s="2">
        <v>0.17810000000000001</v>
      </c>
      <c r="O228" s="2">
        <v>2.6800000000000001E-2</v>
      </c>
      <c r="P228" s="2">
        <v>0.34039999999999998</v>
      </c>
      <c r="Q228" s="2">
        <v>2.6700000000000002E-2</v>
      </c>
      <c r="R228">
        <v>4.0199999999999996</v>
      </c>
      <c r="S228" s="1">
        <v>94149</v>
      </c>
      <c r="T228" s="2">
        <v>0.1084</v>
      </c>
      <c r="U228" s="3">
        <v>38.909999999999997</v>
      </c>
      <c r="V228" s="1">
        <v>9163</v>
      </c>
      <c r="W228" s="2">
        <v>2.64E-2</v>
      </c>
      <c r="X228" s="3">
        <v>15.56</v>
      </c>
      <c r="Y228">
        <v>0</v>
      </c>
      <c r="AB228">
        <v>0</v>
      </c>
      <c r="AE228" s="1">
        <v>11130</v>
      </c>
      <c r="AF228" s="2">
        <v>3.8800000000000001E-2</v>
      </c>
      <c r="AG228" s="3">
        <v>12.87</v>
      </c>
    </row>
    <row r="229" spans="1:33" x14ac:dyDescent="0.75">
      <c r="A229" t="s">
        <v>265</v>
      </c>
      <c r="B229" s="1">
        <v>5467</v>
      </c>
      <c r="C229" s="2">
        <v>0.55859999999999999</v>
      </c>
      <c r="D229" s="2">
        <v>0.44140000000000001</v>
      </c>
      <c r="E229" s="2">
        <v>0</v>
      </c>
      <c r="F229" s="1">
        <v>5444</v>
      </c>
      <c r="G229">
        <v>23</v>
      </c>
      <c r="H229" s="1">
        <v>1471</v>
      </c>
      <c r="I229" s="1">
        <v>3996</v>
      </c>
      <c r="J229" s="2">
        <v>0.67530000000000001</v>
      </c>
      <c r="K229" s="2">
        <v>1.8E-3</v>
      </c>
      <c r="L229" s="2">
        <v>9.1000000000000004E-3</v>
      </c>
      <c r="M229" s="2">
        <v>0.06</v>
      </c>
      <c r="N229" s="2">
        <v>0.17519999999999999</v>
      </c>
      <c r="O229" s="2">
        <v>7.85E-2</v>
      </c>
      <c r="P229" s="2">
        <v>0.28660000000000002</v>
      </c>
      <c r="Q229" s="2">
        <v>1.55E-2</v>
      </c>
      <c r="R229">
        <v>4.47</v>
      </c>
      <c r="S229" s="1">
        <v>76231</v>
      </c>
      <c r="T229" s="2">
        <v>7.5600000000000001E-2</v>
      </c>
      <c r="U229" s="3">
        <v>41.31</v>
      </c>
      <c r="V229" s="1">
        <v>6810</v>
      </c>
      <c r="W229" s="2">
        <v>1.4800000000000001E-2</v>
      </c>
      <c r="X229" s="3">
        <v>18.809999999999999</v>
      </c>
      <c r="Y229" s="1">
        <v>3002</v>
      </c>
      <c r="Z229" s="2">
        <v>1.4500000000000001E-2</v>
      </c>
      <c r="AA229" s="3">
        <v>8.49</v>
      </c>
      <c r="AB229" s="1">
        <v>2144</v>
      </c>
      <c r="AC229" s="2">
        <v>7.4999999999999997E-3</v>
      </c>
      <c r="AD229" s="3">
        <v>11.65</v>
      </c>
      <c r="AE229" s="1">
        <v>3411</v>
      </c>
      <c r="AF229" s="2">
        <v>9.1000000000000004E-3</v>
      </c>
      <c r="AG229" s="3">
        <v>15.32</v>
      </c>
    </row>
    <row r="230" spans="1:33" x14ac:dyDescent="0.75">
      <c r="A230" t="s">
        <v>266</v>
      </c>
      <c r="B230" s="1">
        <v>5416</v>
      </c>
      <c r="C230" s="2">
        <v>0.63390000000000002</v>
      </c>
      <c r="D230" s="2">
        <v>0.36609999999999998</v>
      </c>
      <c r="E230" s="2">
        <v>0</v>
      </c>
      <c r="F230" s="1">
        <v>5395</v>
      </c>
      <c r="G230">
        <v>21</v>
      </c>
      <c r="H230" s="1">
        <v>1829</v>
      </c>
      <c r="I230" s="1">
        <v>3587</v>
      </c>
      <c r="J230" s="2">
        <v>0.78120000000000001</v>
      </c>
      <c r="K230" s="2">
        <v>2.1000000000000001E-2</v>
      </c>
      <c r="L230" s="2">
        <v>2.7E-2</v>
      </c>
      <c r="M230" s="2">
        <v>4.7800000000000002E-2</v>
      </c>
      <c r="N230" s="2">
        <v>8.8300000000000003E-2</v>
      </c>
      <c r="O230" s="2">
        <v>3.4700000000000002E-2</v>
      </c>
      <c r="P230" s="2">
        <v>0.26790000000000003</v>
      </c>
      <c r="Q230" s="2">
        <v>6.6299999999999998E-2</v>
      </c>
      <c r="R230">
        <v>4.6399999999999997</v>
      </c>
      <c r="S230" s="1">
        <v>89751</v>
      </c>
      <c r="T230" s="2">
        <v>9.7600000000000006E-2</v>
      </c>
      <c r="U230" s="3">
        <v>36.590000000000003</v>
      </c>
      <c r="V230" s="1">
        <v>21256</v>
      </c>
      <c r="W230" s="2">
        <v>4.7500000000000001E-2</v>
      </c>
      <c r="X230" s="3">
        <v>17.8</v>
      </c>
      <c r="Y230" s="1">
        <v>4420</v>
      </c>
      <c r="Z230" s="2">
        <v>2.0400000000000001E-2</v>
      </c>
      <c r="AA230" s="3">
        <v>8.61</v>
      </c>
      <c r="AB230">
        <v>0</v>
      </c>
      <c r="AE230" s="1">
        <v>8153</v>
      </c>
      <c r="AF230" s="2">
        <v>1.83E-2</v>
      </c>
      <c r="AG230" s="3">
        <v>17.71</v>
      </c>
    </row>
    <row r="231" spans="1:33" x14ac:dyDescent="0.75">
      <c r="A231" t="s">
        <v>267</v>
      </c>
      <c r="B231" s="1">
        <v>5157</v>
      </c>
      <c r="C231" s="2">
        <v>0.6704</v>
      </c>
      <c r="D231" s="2">
        <v>0.3296</v>
      </c>
      <c r="E231" s="2">
        <v>0</v>
      </c>
      <c r="F231" s="1">
        <v>5109</v>
      </c>
      <c r="G231">
        <v>48</v>
      </c>
      <c r="H231" s="1">
        <v>2372</v>
      </c>
      <c r="I231" s="1">
        <v>2785</v>
      </c>
      <c r="J231" s="2">
        <v>0.80120000000000002</v>
      </c>
      <c r="K231" s="2">
        <v>8.0000000000000004E-4</v>
      </c>
      <c r="L231" s="2">
        <v>5.1999999999999998E-3</v>
      </c>
      <c r="M231" s="2">
        <v>1.7999999999999999E-2</v>
      </c>
      <c r="N231" s="2">
        <v>0.15179999999999999</v>
      </c>
      <c r="O231" s="2">
        <v>2.29E-2</v>
      </c>
      <c r="P231" s="2">
        <v>0.35680000000000001</v>
      </c>
      <c r="Q231" s="2">
        <v>7.17E-2</v>
      </c>
      <c r="R231">
        <v>4.29</v>
      </c>
      <c r="S231" s="1">
        <v>96403</v>
      </c>
      <c r="T231" s="2">
        <v>0.12970000000000001</v>
      </c>
      <c r="U231" s="3">
        <v>33.57</v>
      </c>
      <c r="V231" s="1">
        <v>10897</v>
      </c>
      <c r="W231" s="2">
        <v>2.87E-2</v>
      </c>
      <c r="X231" s="3">
        <v>17.13</v>
      </c>
      <c r="Y231" s="1">
        <v>16760</v>
      </c>
      <c r="Z231" s="2">
        <v>7.9000000000000001E-2</v>
      </c>
      <c r="AA231" s="3">
        <v>9.57</v>
      </c>
      <c r="AB231" s="1">
        <v>2032</v>
      </c>
      <c r="AC231" s="2">
        <v>7.4000000000000003E-3</v>
      </c>
      <c r="AD231" s="3">
        <v>12.38</v>
      </c>
      <c r="AE231" s="1">
        <v>3568</v>
      </c>
      <c r="AF231" s="2">
        <v>8.0000000000000002E-3</v>
      </c>
      <c r="AG231" s="3">
        <v>20.11</v>
      </c>
    </row>
    <row r="232" spans="1:33" x14ac:dyDescent="0.75">
      <c r="A232" t="s">
        <v>268</v>
      </c>
      <c r="B232" s="1">
        <v>5133</v>
      </c>
      <c r="C232" s="2">
        <v>0.54649999999999999</v>
      </c>
      <c r="D232" s="2">
        <v>0.45350000000000001</v>
      </c>
      <c r="E232" s="2">
        <v>0</v>
      </c>
      <c r="F232" s="1">
        <v>5094</v>
      </c>
      <c r="G232">
        <v>39</v>
      </c>
      <c r="H232" s="1">
        <v>1729</v>
      </c>
      <c r="I232" s="1">
        <v>3404</v>
      </c>
      <c r="J232" s="2">
        <v>0.8397</v>
      </c>
      <c r="K232" s="2">
        <v>0</v>
      </c>
      <c r="L232" s="2">
        <v>0</v>
      </c>
      <c r="M232" s="2">
        <v>3.7000000000000002E-3</v>
      </c>
      <c r="N232" s="2">
        <v>0.13400000000000001</v>
      </c>
      <c r="O232" s="2">
        <v>2.2599999999999999E-2</v>
      </c>
      <c r="P232" s="2">
        <v>0.33289999999999997</v>
      </c>
      <c r="Q232" s="2">
        <v>5.5300000000000002E-2</v>
      </c>
      <c r="R232">
        <v>4.66</v>
      </c>
      <c r="S232" s="1">
        <v>78764</v>
      </c>
      <c r="T232" s="2">
        <v>9.2499999999999999E-2</v>
      </c>
      <c r="U232" s="3">
        <v>35.61</v>
      </c>
      <c r="V232" s="1">
        <v>19607</v>
      </c>
      <c r="W232" s="2">
        <v>4.1799999999999997E-2</v>
      </c>
      <c r="X232" s="3">
        <v>19.64</v>
      </c>
      <c r="Y232" s="1">
        <v>3245</v>
      </c>
      <c r="Z232" s="2">
        <v>1.61E-2</v>
      </c>
      <c r="AA232" s="3">
        <v>8.42</v>
      </c>
      <c r="AB232" s="1">
        <v>1098</v>
      </c>
      <c r="AC232" s="2">
        <v>2.5000000000000001E-3</v>
      </c>
      <c r="AD232" s="3">
        <v>18.559999999999999</v>
      </c>
      <c r="AE232" s="1">
        <v>7519</v>
      </c>
      <c r="AF232" s="2">
        <v>2.3699999999999999E-2</v>
      </c>
      <c r="AG232" s="3">
        <v>13.25</v>
      </c>
    </row>
    <row r="233" spans="1:33" x14ac:dyDescent="0.75">
      <c r="A233" t="s">
        <v>269</v>
      </c>
      <c r="B233" s="1">
        <v>5045</v>
      </c>
      <c r="C233" s="2">
        <v>0.55359999999999998</v>
      </c>
      <c r="D233" s="2">
        <v>0.44640000000000002</v>
      </c>
      <c r="E233" s="2">
        <v>0</v>
      </c>
      <c r="F233" s="1">
        <v>5007</v>
      </c>
      <c r="G233">
        <v>38</v>
      </c>
      <c r="H233" s="1">
        <v>1295</v>
      </c>
      <c r="I233" s="1">
        <v>3750</v>
      </c>
      <c r="J233" s="2">
        <v>0.76890000000000003</v>
      </c>
      <c r="K233" s="2">
        <v>1.2699999999999999E-2</v>
      </c>
      <c r="L233" s="2">
        <v>2.8E-3</v>
      </c>
      <c r="M233" s="2">
        <v>5.57E-2</v>
      </c>
      <c r="N233" s="2">
        <v>0.12089999999999999</v>
      </c>
      <c r="O233" s="2">
        <v>3.9E-2</v>
      </c>
      <c r="P233" s="2">
        <v>0.27710000000000001</v>
      </c>
      <c r="Q233" s="2">
        <v>2.7199999999999998E-2</v>
      </c>
      <c r="R233">
        <v>5.19</v>
      </c>
      <c r="S233" s="1">
        <v>48088</v>
      </c>
      <c r="T233" s="2">
        <v>6.2399999999999997E-2</v>
      </c>
      <c r="U233" s="3">
        <v>29.45</v>
      </c>
      <c r="V233" s="1">
        <v>13746</v>
      </c>
      <c r="W233" s="2">
        <v>2.5499999999999998E-2</v>
      </c>
      <c r="X233" s="3">
        <v>20.58</v>
      </c>
      <c r="Y233" s="1">
        <v>3862</v>
      </c>
      <c r="Z233" s="2">
        <v>1.7899999999999999E-2</v>
      </c>
      <c r="AA233" s="3">
        <v>8.26</v>
      </c>
      <c r="AB233" s="1">
        <v>5003</v>
      </c>
      <c r="AC233" s="2">
        <v>1.9699999999999999E-2</v>
      </c>
      <c r="AD233" s="3">
        <v>9.7100000000000009</v>
      </c>
      <c r="AE233" s="1">
        <v>2356</v>
      </c>
      <c r="AF233" s="2">
        <v>7.7000000000000002E-3</v>
      </c>
      <c r="AG233" s="3">
        <v>11.68</v>
      </c>
    </row>
    <row r="234" spans="1:33" x14ac:dyDescent="0.75">
      <c r="A234" t="s">
        <v>270</v>
      </c>
      <c r="B234" s="1">
        <v>4906</v>
      </c>
      <c r="C234" s="2">
        <v>0.61209999999999998</v>
      </c>
      <c r="D234" s="2">
        <v>0.38790000000000002</v>
      </c>
      <c r="E234" s="2">
        <v>0</v>
      </c>
      <c r="F234" s="1">
        <v>4854</v>
      </c>
      <c r="G234">
        <v>52</v>
      </c>
      <c r="H234">
        <v>807</v>
      </c>
      <c r="I234" s="1">
        <v>4099</v>
      </c>
      <c r="J234" s="2">
        <v>0.88629999999999998</v>
      </c>
      <c r="K234" s="2">
        <v>5.9999999999999995E-4</v>
      </c>
      <c r="L234" s="2">
        <v>1E-3</v>
      </c>
      <c r="M234" s="2">
        <v>1.8E-3</v>
      </c>
      <c r="N234" s="2">
        <v>0.10290000000000001</v>
      </c>
      <c r="O234" s="2">
        <v>7.3000000000000001E-3</v>
      </c>
      <c r="P234" s="2">
        <v>0.1784</v>
      </c>
      <c r="Q234" s="2">
        <v>4.99E-2</v>
      </c>
      <c r="R234">
        <v>5.2</v>
      </c>
      <c r="S234" s="1">
        <v>104583</v>
      </c>
      <c r="T234" s="2">
        <v>0.15609999999999999</v>
      </c>
      <c r="U234" s="3">
        <v>26.25</v>
      </c>
      <c r="V234" s="1">
        <v>9582</v>
      </c>
      <c r="W234" s="2">
        <v>2.3400000000000001E-2</v>
      </c>
      <c r="X234" s="3">
        <v>16.05</v>
      </c>
      <c r="Y234" s="1">
        <v>1600</v>
      </c>
      <c r="Z234" s="2">
        <v>7.1000000000000004E-3</v>
      </c>
      <c r="AA234" s="3">
        <v>8.82</v>
      </c>
      <c r="AB234">
        <v>322</v>
      </c>
      <c r="AC234" s="2">
        <v>6.9999999999999999E-4</v>
      </c>
      <c r="AD234" s="3">
        <v>17</v>
      </c>
      <c r="AE234" s="1">
        <v>2516</v>
      </c>
      <c r="AF234" s="2">
        <v>5.1000000000000004E-3</v>
      </c>
      <c r="AG234" s="3">
        <v>19.16</v>
      </c>
    </row>
    <row r="235" spans="1:33" x14ac:dyDescent="0.75">
      <c r="A235" t="s">
        <v>271</v>
      </c>
      <c r="B235" s="1">
        <v>4900</v>
      </c>
      <c r="C235" s="2">
        <v>0.6069</v>
      </c>
      <c r="D235" s="2">
        <v>0.3931</v>
      </c>
      <c r="E235" s="2">
        <v>0</v>
      </c>
      <c r="F235" s="1">
        <v>4833</v>
      </c>
      <c r="G235">
        <v>67</v>
      </c>
      <c r="H235">
        <v>777</v>
      </c>
      <c r="I235" s="1">
        <v>4123</v>
      </c>
      <c r="J235" s="2">
        <v>0.68389999999999995</v>
      </c>
      <c r="K235" s="2">
        <v>1.6000000000000001E-3</v>
      </c>
      <c r="L235" s="2">
        <v>4.4999999999999997E-3</v>
      </c>
      <c r="M235" s="2">
        <v>6.4899999999999999E-2</v>
      </c>
      <c r="N235" s="2">
        <v>0.17510000000000001</v>
      </c>
      <c r="O235" s="2">
        <v>7.0000000000000007E-2</v>
      </c>
      <c r="P235" s="2">
        <v>0.25979999999999998</v>
      </c>
      <c r="Q235" s="2">
        <v>7.9200000000000007E-2</v>
      </c>
      <c r="R235">
        <v>6.28</v>
      </c>
      <c r="S235" s="1">
        <v>218764</v>
      </c>
      <c r="T235" s="2">
        <v>0.2646</v>
      </c>
      <c r="U235" s="3">
        <v>26.86</v>
      </c>
      <c r="V235" s="1">
        <v>55378</v>
      </c>
      <c r="W235" s="2">
        <v>9.7900000000000001E-2</v>
      </c>
      <c r="X235" s="3">
        <v>18.37</v>
      </c>
      <c r="Y235" s="1">
        <v>40989</v>
      </c>
      <c r="Z235" s="2">
        <v>0.1575</v>
      </c>
      <c r="AA235" s="3">
        <v>8.4499999999999993</v>
      </c>
      <c r="AB235" s="1">
        <v>65598</v>
      </c>
      <c r="AC235" s="2">
        <v>0.15440000000000001</v>
      </c>
      <c r="AD235" s="3">
        <v>13.8</v>
      </c>
      <c r="AE235" s="1">
        <v>7650</v>
      </c>
      <c r="AF235" s="2">
        <v>1.7899999999999999E-2</v>
      </c>
      <c r="AG235" s="3">
        <v>13.87</v>
      </c>
    </row>
    <row r="236" spans="1:33" x14ac:dyDescent="0.75">
      <c r="A236" t="s">
        <v>272</v>
      </c>
      <c r="B236" s="1">
        <v>4728</v>
      </c>
      <c r="C236" s="2">
        <v>0.69420000000000004</v>
      </c>
      <c r="D236" s="2">
        <v>0.30580000000000002</v>
      </c>
      <c r="E236" s="2">
        <v>0</v>
      </c>
      <c r="F236" s="1">
        <v>4692</v>
      </c>
      <c r="G236">
        <v>36</v>
      </c>
      <c r="H236" s="1">
        <v>1497</v>
      </c>
      <c r="I236" s="1">
        <v>3231</v>
      </c>
      <c r="J236" s="2">
        <v>0.77429999999999999</v>
      </c>
      <c r="K236" s="2">
        <v>5.9999999999999995E-4</v>
      </c>
      <c r="L236" s="2">
        <v>7.1999999999999998E-3</v>
      </c>
      <c r="M236" s="2">
        <v>1.4999999999999999E-2</v>
      </c>
      <c r="N236" s="2">
        <v>0.15759999999999999</v>
      </c>
      <c r="O236" s="2">
        <v>4.53E-2</v>
      </c>
      <c r="P236" s="2">
        <v>0.33379999999999999</v>
      </c>
      <c r="Q236" s="2">
        <v>6.7500000000000004E-2</v>
      </c>
      <c r="R236">
        <v>3.57</v>
      </c>
      <c r="S236" s="1">
        <v>55510</v>
      </c>
      <c r="T236" s="2">
        <v>8.5000000000000006E-2</v>
      </c>
      <c r="U236" s="3">
        <v>38.630000000000003</v>
      </c>
      <c r="V236" s="1">
        <v>19967</v>
      </c>
      <c r="W236" s="2">
        <v>6.2199999999999998E-2</v>
      </c>
      <c r="X236" s="3">
        <v>19.010000000000002</v>
      </c>
      <c r="Y236" s="1">
        <v>8287</v>
      </c>
      <c r="Z236" s="2">
        <v>5.3600000000000002E-2</v>
      </c>
      <c r="AA236" s="3">
        <v>9.15</v>
      </c>
      <c r="AB236" s="1">
        <v>3067</v>
      </c>
      <c r="AC236" s="2">
        <v>6.1000000000000004E-3</v>
      </c>
      <c r="AD236" s="3">
        <v>29.79</v>
      </c>
      <c r="AE236" s="1">
        <v>3084</v>
      </c>
      <c r="AF236" s="2">
        <v>1.14E-2</v>
      </c>
      <c r="AG236" s="3">
        <v>16</v>
      </c>
    </row>
    <row r="237" spans="1:33" x14ac:dyDescent="0.75">
      <c r="A237" t="s">
        <v>273</v>
      </c>
      <c r="B237" s="1">
        <v>4713</v>
      </c>
      <c r="C237" s="2">
        <v>0.83899999999999997</v>
      </c>
      <c r="D237" s="2">
        <v>0.161</v>
      </c>
      <c r="E237" s="2">
        <v>0</v>
      </c>
      <c r="F237" s="1">
        <v>4591</v>
      </c>
      <c r="G237">
        <v>122</v>
      </c>
      <c r="H237" s="1">
        <v>1488</v>
      </c>
      <c r="I237" s="1">
        <v>3225</v>
      </c>
      <c r="J237" s="2">
        <v>0.83730000000000004</v>
      </c>
      <c r="K237" s="2">
        <v>0</v>
      </c>
      <c r="L237" s="2">
        <v>8.0000000000000004E-4</v>
      </c>
      <c r="M237" s="2">
        <v>9.7999999999999997E-3</v>
      </c>
      <c r="N237" s="2">
        <v>0.1318</v>
      </c>
      <c r="O237" s="2">
        <v>2.0400000000000001E-2</v>
      </c>
      <c r="P237" s="2">
        <v>0.2898</v>
      </c>
      <c r="Q237" s="2">
        <v>0.15340000000000001</v>
      </c>
      <c r="R237">
        <v>3.39</v>
      </c>
      <c r="S237" s="1">
        <v>60461</v>
      </c>
      <c r="T237" s="2">
        <v>0.1051</v>
      </c>
      <c r="U237" s="3">
        <v>35.97</v>
      </c>
      <c r="V237" s="1">
        <v>13369</v>
      </c>
      <c r="W237" s="2">
        <v>3.9800000000000002E-2</v>
      </c>
      <c r="X237" s="3">
        <v>21.02</v>
      </c>
      <c r="Y237" s="1">
        <v>4842</v>
      </c>
      <c r="Z237" s="2">
        <v>3.2599999999999997E-2</v>
      </c>
      <c r="AA237" s="3">
        <v>9.3000000000000007</v>
      </c>
      <c r="AB237" s="1">
        <v>1130</v>
      </c>
      <c r="AC237" s="2">
        <v>5.7000000000000002E-3</v>
      </c>
      <c r="AD237" s="3">
        <v>12.41</v>
      </c>
      <c r="AE237" s="1">
        <v>3820</v>
      </c>
      <c r="AF237" s="2">
        <v>1.95E-2</v>
      </c>
      <c r="AG237" s="3">
        <v>12.27</v>
      </c>
    </row>
    <row r="238" spans="1:33" x14ac:dyDescent="0.75">
      <c r="A238" t="s">
        <v>274</v>
      </c>
      <c r="B238" s="1">
        <v>4639</v>
      </c>
      <c r="C238" s="2">
        <v>0.63009999999999999</v>
      </c>
      <c r="D238" s="2">
        <v>0.36990000000000001</v>
      </c>
      <c r="E238" s="2">
        <v>0</v>
      </c>
      <c r="F238" s="1">
        <v>4536</v>
      </c>
      <c r="G238">
        <v>103</v>
      </c>
      <c r="H238" s="1">
        <v>1522</v>
      </c>
      <c r="I238" s="1">
        <v>3117</v>
      </c>
      <c r="J238" s="2">
        <v>0.71140000000000003</v>
      </c>
      <c r="K238" s="2">
        <v>2.8E-3</v>
      </c>
      <c r="L238" s="2">
        <v>1.4200000000000001E-2</v>
      </c>
      <c r="M238" s="2">
        <v>7.1400000000000005E-2</v>
      </c>
      <c r="N238" s="2">
        <v>0.16209999999999999</v>
      </c>
      <c r="O238" s="2">
        <v>3.8199999999999998E-2</v>
      </c>
      <c r="P238" s="2">
        <v>0.28220000000000001</v>
      </c>
      <c r="Q238" s="2">
        <v>3.9E-2</v>
      </c>
      <c r="R238">
        <v>4.21</v>
      </c>
      <c r="S238" s="1">
        <v>67965</v>
      </c>
      <c r="T238" s="2">
        <v>0.10249999999999999</v>
      </c>
      <c r="U238" s="3">
        <v>33.97</v>
      </c>
      <c r="V238" s="1">
        <v>15667</v>
      </c>
      <c r="W238" s="2">
        <v>4.2700000000000002E-2</v>
      </c>
      <c r="X238" s="3">
        <v>18.809999999999999</v>
      </c>
      <c r="Y238">
        <v>743</v>
      </c>
      <c r="Z238" s="2">
        <v>4.4999999999999997E-3</v>
      </c>
      <c r="AA238" s="3">
        <v>8.4600000000000009</v>
      </c>
      <c r="AB238">
        <v>0</v>
      </c>
      <c r="AE238" s="1">
        <v>3561</v>
      </c>
      <c r="AF238" s="2">
        <v>1.3299999999999999E-2</v>
      </c>
      <c r="AG238" s="3">
        <v>13.68</v>
      </c>
    </row>
    <row r="239" spans="1:33" x14ac:dyDescent="0.75">
      <c r="A239" t="s">
        <v>275</v>
      </c>
      <c r="B239" s="1">
        <v>4459</v>
      </c>
      <c r="C239" s="2">
        <v>0.62439999999999996</v>
      </c>
      <c r="D239" s="2">
        <v>0.37559999999999999</v>
      </c>
      <c r="E239" s="2">
        <v>0</v>
      </c>
      <c r="F239" s="1">
        <v>4442</v>
      </c>
      <c r="G239">
        <v>17</v>
      </c>
      <c r="H239" s="1">
        <v>1755</v>
      </c>
      <c r="I239" s="1">
        <v>2704</v>
      </c>
      <c r="J239" s="2">
        <v>0.69030000000000002</v>
      </c>
      <c r="K239" s="2">
        <v>0</v>
      </c>
      <c r="L239" s="2">
        <v>5.7999999999999996E-3</v>
      </c>
      <c r="M239" s="2">
        <v>5.4300000000000001E-2</v>
      </c>
      <c r="N239" s="2">
        <v>0.22720000000000001</v>
      </c>
      <c r="O239" s="2">
        <v>2.24E-2</v>
      </c>
      <c r="P239" s="2">
        <v>0.32629999999999998</v>
      </c>
      <c r="Q239" s="2">
        <v>0.1016</v>
      </c>
      <c r="R239">
        <v>4.0599999999999996</v>
      </c>
      <c r="S239" s="1">
        <v>54701</v>
      </c>
      <c r="T239" s="2">
        <v>9.11E-2</v>
      </c>
      <c r="U239" s="3">
        <v>33.200000000000003</v>
      </c>
      <c r="V239" s="1">
        <v>39771</v>
      </c>
      <c r="W239" s="2">
        <v>0.13600000000000001</v>
      </c>
      <c r="X239" s="3">
        <v>16.170000000000002</v>
      </c>
      <c r="Y239" s="1">
        <v>2285</v>
      </c>
      <c r="Z239" s="2">
        <v>1.49E-2</v>
      </c>
      <c r="AA239" s="3">
        <v>8.4700000000000006</v>
      </c>
      <c r="AB239" s="1">
        <v>1482</v>
      </c>
      <c r="AC239" s="2">
        <v>7.4999999999999997E-3</v>
      </c>
      <c r="AD239" s="3">
        <v>10.94</v>
      </c>
      <c r="AE239" s="1">
        <v>2031</v>
      </c>
      <c r="AF239" s="2">
        <v>7.3000000000000001E-3</v>
      </c>
      <c r="AG239" s="3">
        <v>15.35</v>
      </c>
    </row>
    <row r="240" spans="1:33" x14ac:dyDescent="0.75">
      <c r="A240" t="s">
        <v>276</v>
      </c>
      <c r="B240" s="1">
        <v>4260</v>
      </c>
      <c r="C240" s="2">
        <v>0.66500000000000004</v>
      </c>
      <c r="D240" s="2">
        <v>0.33500000000000002</v>
      </c>
      <c r="E240" s="2">
        <v>0</v>
      </c>
      <c r="F240" s="1">
        <v>4208</v>
      </c>
      <c r="G240">
        <v>52</v>
      </c>
      <c r="H240" s="1">
        <v>1270</v>
      </c>
      <c r="I240" s="1">
        <v>2990</v>
      </c>
      <c r="J240" s="2">
        <v>0.75449999999999995</v>
      </c>
      <c r="K240" s="2">
        <v>2.1600000000000001E-2</v>
      </c>
      <c r="L240" s="2">
        <v>1.29E-2</v>
      </c>
      <c r="M240" s="2">
        <v>6.1699999999999998E-2</v>
      </c>
      <c r="N240" s="2">
        <v>0.1047</v>
      </c>
      <c r="O240" s="2">
        <v>4.4600000000000001E-2</v>
      </c>
      <c r="P240" s="2">
        <v>0.34370000000000001</v>
      </c>
      <c r="Q240" s="2">
        <v>4.1799999999999997E-2</v>
      </c>
      <c r="R240">
        <v>5.28</v>
      </c>
      <c r="S240" s="1">
        <v>50586</v>
      </c>
      <c r="T240" s="2">
        <v>7.4499999999999997E-2</v>
      </c>
      <c r="U240" s="3">
        <v>30.2</v>
      </c>
      <c r="V240" s="1">
        <v>16559</v>
      </c>
      <c r="W240" s="2">
        <v>4.0800000000000003E-2</v>
      </c>
      <c r="X240" s="3">
        <v>18.079999999999998</v>
      </c>
      <c r="Y240" s="1">
        <v>3033</v>
      </c>
      <c r="Z240" s="2">
        <v>1.61E-2</v>
      </c>
      <c r="AA240" s="3">
        <v>8.4</v>
      </c>
      <c r="AB240" s="1">
        <v>6328</v>
      </c>
      <c r="AC240" s="2">
        <v>1.9099999999999999E-2</v>
      </c>
      <c r="AD240" s="3">
        <v>14.74</v>
      </c>
      <c r="AE240" s="1">
        <v>4586</v>
      </c>
      <c r="AF240" s="2">
        <v>1.7600000000000001E-2</v>
      </c>
      <c r="AG240" s="3">
        <v>11.62</v>
      </c>
    </row>
    <row r="241" spans="1:33" x14ac:dyDescent="0.75">
      <c r="A241" t="s">
        <v>277</v>
      </c>
      <c r="B241" s="1">
        <v>4172</v>
      </c>
      <c r="C241" s="2">
        <v>0.55420000000000003</v>
      </c>
      <c r="D241" s="2">
        <v>0.44579999999999997</v>
      </c>
      <c r="E241" s="2">
        <v>0</v>
      </c>
      <c r="F241" s="1">
        <v>4135</v>
      </c>
      <c r="G241">
        <v>37</v>
      </c>
      <c r="H241" s="1">
        <v>1239</v>
      </c>
      <c r="I241" s="1">
        <v>2933</v>
      </c>
      <c r="J241" s="2">
        <v>0.75649999999999995</v>
      </c>
      <c r="K241" s="2">
        <v>0</v>
      </c>
      <c r="L241" s="2">
        <v>7.4000000000000003E-3</v>
      </c>
      <c r="M241" s="2">
        <v>5.1499999999999997E-2</v>
      </c>
      <c r="N241" s="2">
        <v>0.12509999999999999</v>
      </c>
      <c r="O241" s="2">
        <v>5.9400000000000001E-2</v>
      </c>
      <c r="P241" s="2">
        <v>0.28449999999999998</v>
      </c>
      <c r="Q241" s="2">
        <v>5.7799999999999997E-2</v>
      </c>
      <c r="R241">
        <v>4.68</v>
      </c>
      <c r="S241" s="1">
        <v>70540</v>
      </c>
      <c r="T241" s="2">
        <v>0.1193</v>
      </c>
      <c r="U241" s="3">
        <v>30.29</v>
      </c>
      <c r="V241" s="1">
        <v>30687</v>
      </c>
      <c r="W241" s="2">
        <v>7.6300000000000007E-2</v>
      </c>
      <c r="X241" s="3">
        <v>20.59</v>
      </c>
      <c r="Y241" s="1">
        <v>5726</v>
      </c>
      <c r="Z241" s="2">
        <v>3.3099999999999997E-2</v>
      </c>
      <c r="AA241" s="3">
        <v>8.86</v>
      </c>
      <c r="AB241" s="1">
        <v>4967</v>
      </c>
      <c r="AC241" s="2">
        <v>2.1499999999999998E-2</v>
      </c>
      <c r="AD241" s="3">
        <v>11.84</v>
      </c>
      <c r="AE241" s="1">
        <v>12779</v>
      </c>
      <c r="AF241" s="2">
        <v>4.4699999999999997E-2</v>
      </c>
      <c r="AG241" s="3">
        <v>14.65</v>
      </c>
    </row>
    <row r="242" spans="1:33" x14ac:dyDescent="0.75">
      <c r="A242" t="s">
        <v>278</v>
      </c>
      <c r="B242" s="1">
        <v>4129</v>
      </c>
      <c r="C242" s="2">
        <v>0.6028</v>
      </c>
      <c r="D242" s="2">
        <v>0.3972</v>
      </c>
      <c r="E242" s="2">
        <v>0</v>
      </c>
      <c r="F242" s="1">
        <v>4084</v>
      </c>
      <c r="G242">
        <v>45</v>
      </c>
      <c r="H242">
        <v>968</v>
      </c>
      <c r="I242" s="1">
        <v>3161</v>
      </c>
      <c r="J242" s="2">
        <v>0.53569999999999995</v>
      </c>
      <c r="K242" s="2">
        <v>0</v>
      </c>
      <c r="L242" s="2">
        <v>1.55E-2</v>
      </c>
      <c r="M242" s="2">
        <v>2.69E-2</v>
      </c>
      <c r="N242" s="2">
        <v>0.38729999999999998</v>
      </c>
      <c r="O242" s="2">
        <v>3.4599999999999999E-2</v>
      </c>
      <c r="P242" s="2">
        <v>0.37830000000000003</v>
      </c>
      <c r="Q242" s="2">
        <v>3.9199999999999999E-2</v>
      </c>
      <c r="R242">
        <v>4.32</v>
      </c>
      <c r="S242" s="1">
        <v>60194</v>
      </c>
      <c r="T242" s="2">
        <v>7.2400000000000006E-2</v>
      </c>
      <c r="U242" s="3">
        <v>46.62</v>
      </c>
      <c r="V242" s="1">
        <v>17096</v>
      </c>
      <c r="W242" s="2">
        <v>4.3099999999999999E-2</v>
      </c>
      <c r="X242" s="3">
        <v>22.26</v>
      </c>
      <c r="Y242" s="1">
        <v>2826</v>
      </c>
      <c r="Z242" s="2">
        <v>1.89E-2</v>
      </c>
      <c r="AA242" s="3">
        <v>8.39</v>
      </c>
      <c r="AB242">
        <v>329</v>
      </c>
      <c r="AC242" s="2">
        <v>1.5E-3</v>
      </c>
      <c r="AD242" s="3">
        <v>12.36</v>
      </c>
      <c r="AE242" s="1">
        <v>4977</v>
      </c>
      <c r="AF242" s="2">
        <v>2.0899999999999998E-2</v>
      </c>
      <c r="AG242" s="3">
        <v>13.33</v>
      </c>
    </row>
    <row r="243" spans="1:33" x14ac:dyDescent="0.75">
      <c r="A243" t="s">
        <v>279</v>
      </c>
      <c r="B243" s="1">
        <v>4103</v>
      </c>
      <c r="C243" s="2">
        <v>0.52249999999999996</v>
      </c>
      <c r="D243" s="2">
        <v>0.47749999999999998</v>
      </c>
      <c r="E243" s="2">
        <v>0</v>
      </c>
      <c r="F243" s="1">
        <v>4096</v>
      </c>
      <c r="G243">
        <v>7</v>
      </c>
      <c r="H243" s="1">
        <v>1533</v>
      </c>
      <c r="I243" s="1">
        <v>2570</v>
      </c>
      <c r="J243" s="2">
        <v>0.87080000000000002</v>
      </c>
      <c r="K243" s="2">
        <v>0</v>
      </c>
      <c r="L243" s="2">
        <v>0</v>
      </c>
      <c r="M243" s="2">
        <v>9.4999999999999998E-3</v>
      </c>
      <c r="N243" s="2">
        <v>0.1065</v>
      </c>
      <c r="O243" s="2">
        <v>1.32E-2</v>
      </c>
      <c r="P243" s="2">
        <v>0.34489999999999998</v>
      </c>
      <c r="Q243" s="2">
        <v>9.4999999999999998E-3</v>
      </c>
      <c r="R243">
        <v>5.14</v>
      </c>
      <c r="S243" s="1">
        <v>49343</v>
      </c>
      <c r="T243" s="2">
        <v>8.4900000000000003E-2</v>
      </c>
      <c r="U243" s="3">
        <v>27.56</v>
      </c>
      <c r="V243" s="1">
        <v>6495</v>
      </c>
      <c r="W243" s="2">
        <v>1.67E-2</v>
      </c>
      <c r="X243" s="3">
        <v>18.440000000000001</v>
      </c>
      <c r="Y243" s="1">
        <v>1765</v>
      </c>
      <c r="Z243" s="2">
        <v>9.9000000000000008E-3</v>
      </c>
      <c r="AA243" s="3">
        <v>8.49</v>
      </c>
      <c r="AB243" s="1">
        <v>3122</v>
      </c>
      <c r="AC243" s="2">
        <v>5.4999999999999997E-3</v>
      </c>
      <c r="AD243" s="3">
        <v>26.84</v>
      </c>
      <c r="AE243" s="1">
        <v>1563</v>
      </c>
      <c r="AF243" s="2">
        <v>3.8999999999999998E-3</v>
      </c>
      <c r="AG243" s="3">
        <v>18.97</v>
      </c>
    </row>
    <row r="244" spans="1:33" x14ac:dyDescent="0.75">
      <c r="A244" t="s">
        <v>280</v>
      </c>
      <c r="B244" s="1">
        <v>4096</v>
      </c>
      <c r="C244" s="2">
        <v>0.71899999999999997</v>
      </c>
      <c r="D244" s="2">
        <v>0.28100000000000003</v>
      </c>
      <c r="E244" s="2">
        <v>0</v>
      </c>
      <c r="F244" s="1">
        <v>4076</v>
      </c>
      <c r="G244">
        <v>20</v>
      </c>
      <c r="H244" s="1">
        <v>1446</v>
      </c>
      <c r="I244" s="1">
        <v>2650</v>
      </c>
      <c r="J244" s="2">
        <v>0.69850000000000001</v>
      </c>
      <c r="K244" s="2">
        <v>0</v>
      </c>
      <c r="L244" s="2">
        <v>0</v>
      </c>
      <c r="M244" s="2">
        <v>2.69E-2</v>
      </c>
      <c r="N244" s="2">
        <v>0.21360000000000001</v>
      </c>
      <c r="O244" s="2">
        <v>6.0999999999999999E-2</v>
      </c>
      <c r="P244" s="2">
        <v>0.37790000000000001</v>
      </c>
      <c r="Q244" s="2">
        <v>1E-3</v>
      </c>
      <c r="R244">
        <v>5.3</v>
      </c>
      <c r="S244" s="1">
        <v>47633</v>
      </c>
      <c r="T244" s="2">
        <v>5.5599999999999997E-2</v>
      </c>
      <c r="U244" s="3">
        <v>39.44</v>
      </c>
      <c r="V244" s="1">
        <v>6129</v>
      </c>
      <c r="W244" s="2">
        <v>1.49E-2</v>
      </c>
      <c r="X244" s="3">
        <v>18.989999999999998</v>
      </c>
      <c r="Y244" s="1">
        <v>4194</v>
      </c>
      <c r="Z244" s="2">
        <v>2.3300000000000001E-2</v>
      </c>
      <c r="AA244" s="3">
        <v>8.2899999999999991</v>
      </c>
      <c r="AB244" s="1">
        <v>16797</v>
      </c>
      <c r="AC244" s="2">
        <v>6.5299999999999997E-2</v>
      </c>
      <c r="AD244" s="3">
        <v>11.85</v>
      </c>
      <c r="AE244" s="1">
        <v>5956</v>
      </c>
      <c r="AF244" s="2">
        <v>2.1000000000000001E-2</v>
      </c>
      <c r="AG244" s="3">
        <v>13.07</v>
      </c>
    </row>
    <row r="245" spans="1:33" x14ac:dyDescent="0.75">
      <c r="A245" t="s">
        <v>281</v>
      </c>
      <c r="B245" s="1">
        <v>4078</v>
      </c>
      <c r="C245" s="2">
        <v>0.66969999999999996</v>
      </c>
      <c r="D245" s="2">
        <v>0.33029999999999998</v>
      </c>
      <c r="E245" s="2">
        <v>0</v>
      </c>
      <c r="F245" s="1">
        <v>3815</v>
      </c>
      <c r="G245">
        <v>263</v>
      </c>
      <c r="H245">
        <v>948</v>
      </c>
      <c r="I245" s="1">
        <v>3130</v>
      </c>
      <c r="J245" s="2">
        <v>0.87029999999999996</v>
      </c>
      <c r="K245" s="2">
        <v>0</v>
      </c>
      <c r="L245" s="2">
        <v>0</v>
      </c>
      <c r="M245" s="2">
        <v>5.5999999999999999E-3</v>
      </c>
      <c r="N245" s="2">
        <v>9.8799999999999999E-2</v>
      </c>
      <c r="O245" s="2">
        <v>2.53E-2</v>
      </c>
      <c r="P245" s="2">
        <v>0.28149999999999997</v>
      </c>
      <c r="Q245" s="2">
        <v>6.8699999999999997E-2</v>
      </c>
      <c r="R245">
        <v>4.4400000000000004</v>
      </c>
      <c r="S245" s="1">
        <v>42221</v>
      </c>
      <c r="T245" s="2">
        <v>0.16569999999999999</v>
      </c>
      <c r="U245" s="3">
        <v>14.06</v>
      </c>
      <c r="V245" s="1">
        <v>15020</v>
      </c>
      <c r="W245" s="2">
        <v>4.4900000000000002E-2</v>
      </c>
      <c r="X245" s="3">
        <v>18.45</v>
      </c>
      <c r="Y245" s="1">
        <v>3176</v>
      </c>
      <c r="Z245" s="2">
        <v>2.06E-2</v>
      </c>
      <c r="AA245" s="3">
        <v>8.52</v>
      </c>
      <c r="AB245" s="1">
        <v>2194</v>
      </c>
      <c r="AC245" s="2">
        <v>4.4999999999999997E-3</v>
      </c>
      <c r="AD245" s="3">
        <v>26.91</v>
      </c>
      <c r="AE245" s="1">
        <v>9544</v>
      </c>
      <c r="AF245" s="2">
        <v>3.5999999999999997E-2</v>
      </c>
      <c r="AG245" s="3">
        <v>14.62</v>
      </c>
    </row>
    <row r="246" spans="1:33" x14ac:dyDescent="0.75">
      <c r="A246" t="s">
        <v>282</v>
      </c>
      <c r="B246" s="1">
        <v>4077</v>
      </c>
      <c r="C246" s="2">
        <v>0.63649999999999995</v>
      </c>
      <c r="D246" s="2">
        <v>0.36349999999999999</v>
      </c>
      <c r="E246" s="2">
        <v>0</v>
      </c>
      <c r="F246" s="1">
        <v>3973</v>
      </c>
      <c r="G246">
        <v>104</v>
      </c>
      <c r="H246" s="1">
        <v>1315</v>
      </c>
      <c r="I246" s="1">
        <v>2762</v>
      </c>
      <c r="J246" s="2">
        <v>0.79859999999999998</v>
      </c>
      <c r="K246" s="2">
        <v>3.2000000000000002E-3</v>
      </c>
      <c r="L246" s="2">
        <v>1E-3</v>
      </c>
      <c r="M246" s="2">
        <v>1.4999999999999999E-2</v>
      </c>
      <c r="N246" s="2">
        <v>0.12709999999999999</v>
      </c>
      <c r="O246" s="2">
        <v>5.5199999999999999E-2</v>
      </c>
      <c r="P246" s="2">
        <v>0.31840000000000002</v>
      </c>
      <c r="Q246" s="2">
        <v>0.1072</v>
      </c>
      <c r="R246">
        <v>4.05</v>
      </c>
      <c r="S246" s="1">
        <v>88439</v>
      </c>
      <c r="T246" s="2">
        <v>0.16850000000000001</v>
      </c>
      <c r="U246" s="3">
        <v>31.81</v>
      </c>
      <c r="V246" s="1">
        <v>11529</v>
      </c>
      <c r="W246" s="2">
        <v>4.2999999999999997E-2</v>
      </c>
      <c r="X246" s="3">
        <v>16.260000000000002</v>
      </c>
      <c r="Y246" s="1">
        <v>1903</v>
      </c>
      <c r="Z246" s="2">
        <v>1.3299999999999999E-2</v>
      </c>
      <c r="AA246" s="3">
        <v>8.69</v>
      </c>
      <c r="AB246">
        <v>260</v>
      </c>
      <c r="AC246" s="2">
        <v>1.4E-3</v>
      </c>
      <c r="AD246" s="3">
        <v>11.38</v>
      </c>
      <c r="AE246" s="1">
        <v>1259</v>
      </c>
      <c r="AF246" s="2">
        <v>5.1000000000000004E-3</v>
      </c>
      <c r="AG246" s="3">
        <v>14.99</v>
      </c>
    </row>
    <row r="247" spans="1:33" x14ac:dyDescent="0.75">
      <c r="A247" t="s">
        <v>283</v>
      </c>
      <c r="B247" s="1">
        <v>4072</v>
      </c>
      <c r="C247" s="2">
        <v>0.57509999999999994</v>
      </c>
      <c r="D247" s="2">
        <v>0.4249</v>
      </c>
      <c r="E247" s="2">
        <v>0</v>
      </c>
      <c r="F247" s="1">
        <v>4018</v>
      </c>
      <c r="G247">
        <v>54</v>
      </c>
      <c r="H247" s="1">
        <v>1526</v>
      </c>
      <c r="I247" s="1">
        <v>2546</v>
      </c>
      <c r="J247" s="2">
        <v>0.85929999999999995</v>
      </c>
      <c r="K247" s="2">
        <v>2.0000000000000001E-4</v>
      </c>
      <c r="L247" s="2">
        <v>4.1999999999999997E-3</v>
      </c>
      <c r="M247" s="2">
        <v>4.7000000000000002E-3</v>
      </c>
      <c r="N247" s="2">
        <v>0.11890000000000001</v>
      </c>
      <c r="O247" s="2">
        <v>1.2800000000000001E-2</v>
      </c>
      <c r="P247" s="2">
        <v>0.24360000000000001</v>
      </c>
      <c r="Q247" s="2">
        <v>2.8500000000000001E-2</v>
      </c>
      <c r="R247">
        <v>4.8</v>
      </c>
      <c r="S247" s="1">
        <v>52929</v>
      </c>
      <c r="T247" s="2">
        <v>7.85E-2</v>
      </c>
      <c r="U247" s="3">
        <v>34.5</v>
      </c>
      <c r="V247" s="1">
        <v>7710</v>
      </c>
      <c r="W247" s="2">
        <v>2.5899999999999999E-2</v>
      </c>
      <c r="X247" s="3">
        <v>15.22</v>
      </c>
      <c r="Y247" s="1">
        <v>5128</v>
      </c>
      <c r="Z247" s="2">
        <v>3.1099999999999999E-2</v>
      </c>
      <c r="AA247" s="3">
        <v>8.43</v>
      </c>
      <c r="AB247">
        <v>0</v>
      </c>
      <c r="AE247" s="1">
        <v>5288</v>
      </c>
      <c r="AF247" s="2">
        <v>2.0899999999999998E-2</v>
      </c>
      <c r="AG247" s="3">
        <v>12.96</v>
      </c>
    </row>
    <row r="248" spans="1:33" x14ac:dyDescent="0.75">
      <c r="A248" t="s">
        <v>284</v>
      </c>
      <c r="B248" s="1">
        <v>4066</v>
      </c>
      <c r="C248" s="2">
        <v>1</v>
      </c>
      <c r="D248" s="2">
        <v>0</v>
      </c>
      <c r="E248" s="2">
        <v>0</v>
      </c>
      <c r="F248" s="1">
        <v>4044</v>
      </c>
      <c r="G248">
        <v>22</v>
      </c>
      <c r="H248" s="1">
        <v>1405</v>
      </c>
      <c r="I248" s="1">
        <v>2661</v>
      </c>
      <c r="J248" s="2">
        <v>0.76270000000000004</v>
      </c>
      <c r="K248" s="2">
        <v>0</v>
      </c>
      <c r="L248" s="2">
        <v>1E-3</v>
      </c>
      <c r="M248" s="2">
        <v>2.5100000000000001E-2</v>
      </c>
      <c r="N248" s="2">
        <v>0.1837</v>
      </c>
      <c r="O248" s="2">
        <v>2.75E-2</v>
      </c>
      <c r="P248" s="2">
        <v>0.3387</v>
      </c>
      <c r="Q248" s="2">
        <v>4.9700000000000001E-2</v>
      </c>
      <c r="R248">
        <v>4.16</v>
      </c>
      <c r="S248" s="1">
        <v>83745</v>
      </c>
      <c r="T248" s="2">
        <v>0.1381</v>
      </c>
      <c r="U248" s="3">
        <v>35.82</v>
      </c>
      <c r="V248" s="1">
        <v>9144</v>
      </c>
      <c r="W248" s="2">
        <v>2.7400000000000001E-2</v>
      </c>
      <c r="X248" s="3">
        <v>19.71</v>
      </c>
      <c r="Y248" s="1">
        <v>13596</v>
      </c>
      <c r="Z248" s="2">
        <v>9.0200000000000002E-2</v>
      </c>
      <c r="AA248" s="3">
        <v>8.9</v>
      </c>
      <c r="AB248" s="1">
        <v>1384</v>
      </c>
      <c r="AC248" s="2">
        <v>6.0000000000000001E-3</v>
      </c>
      <c r="AD248" s="3">
        <v>13.66</v>
      </c>
      <c r="AE248" s="1">
        <v>4284</v>
      </c>
      <c r="AF248" s="2">
        <v>1.54E-2</v>
      </c>
      <c r="AG248" s="3">
        <v>16.46</v>
      </c>
    </row>
    <row r="249" spans="1:33" x14ac:dyDescent="0.75">
      <c r="A249" t="s">
        <v>285</v>
      </c>
      <c r="B249" s="1">
        <v>3919</v>
      </c>
      <c r="C249" s="2">
        <v>0.65449999999999997</v>
      </c>
      <c r="D249" s="2">
        <v>0.34549999999999997</v>
      </c>
      <c r="E249" s="2">
        <v>0</v>
      </c>
      <c r="F249" s="1">
        <v>3817</v>
      </c>
      <c r="G249">
        <v>102</v>
      </c>
      <c r="H249" s="1">
        <v>1017</v>
      </c>
      <c r="I249" s="1">
        <v>2902</v>
      </c>
      <c r="J249" s="2">
        <v>0.70730000000000004</v>
      </c>
      <c r="K249" s="2">
        <v>1.5100000000000001E-2</v>
      </c>
      <c r="L249" s="2">
        <v>1.8599999999999998E-2</v>
      </c>
      <c r="M249" s="2">
        <v>7.2700000000000001E-2</v>
      </c>
      <c r="N249" s="2">
        <v>0.13039999999999999</v>
      </c>
      <c r="O249" s="2">
        <v>5.5899999999999998E-2</v>
      </c>
      <c r="P249" s="2">
        <v>0.32790000000000002</v>
      </c>
      <c r="Q249" s="2">
        <v>7.8799999999999995E-2</v>
      </c>
      <c r="R249">
        <v>4.7</v>
      </c>
      <c r="S249" s="1">
        <v>48664</v>
      </c>
      <c r="T249" s="2">
        <v>8.6499999999999994E-2</v>
      </c>
      <c r="U249" s="3">
        <v>30.58</v>
      </c>
      <c r="V249" s="1">
        <v>15737</v>
      </c>
      <c r="W249" s="2">
        <v>4.6899999999999997E-2</v>
      </c>
      <c r="X249" s="3">
        <v>18.22</v>
      </c>
      <c r="Y249" s="1">
        <v>3273</v>
      </c>
      <c r="Z249" s="2">
        <v>1.9900000000000001E-2</v>
      </c>
      <c r="AA249" s="3">
        <v>8.94</v>
      </c>
      <c r="AB249" s="1">
        <v>11575</v>
      </c>
      <c r="AC249" s="2">
        <v>3.1399999999999997E-2</v>
      </c>
      <c r="AD249" s="3">
        <v>20.010000000000002</v>
      </c>
      <c r="AE249" s="1">
        <v>5703</v>
      </c>
      <c r="AF249" s="2">
        <v>1.5100000000000001E-2</v>
      </c>
      <c r="AG249" s="3">
        <v>20.54</v>
      </c>
    </row>
    <row r="250" spans="1:33" x14ac:dyDescent="0.75">
      <c r="A250" t="s">
        <v>286</v>
      </c>
      <c r="B250" s="1">
        <v>3642</v>
      </c>
      <c r="C250" s="2">
        <v>0.62880000000000003</v>
      </c>
      <c r="D250" s="2">
        <v>0.37119999999999997</v>
      </c>
      <c r="E250" s="2">
        <v>0</v>
      </c>
      <c r="F250" s="1">
        <v>3631</v>
      </c>
      <c r="G250">
        <v>11</v>
      </c>
      <c r="H250">
        <v>948</v>
      </c>
      <c r="I250" s="1">
        <v>2694</v>
      </c>
      <c r="J250" s="2">
        <v>0.59530000000000005</v>
      </c>
      <c r="K250" s="2">
        <v>2.9999999999999997E-4</v>
      </c>
      <c r="L250" s="2">
        <v>1.95E-2</v>
      </c>
      <c r="M250" s="2">
        <v>7.7700000000000005E-2</v>
      </c>
      <c r="N250" s="2">
        <v>0.2334</v>
      </c>
      <c r="O250" s="2">
        <v>7.3899999999999993E-2</v>
      </c>
      <c r="P250" s="2">
        <v>0.2853</v>
      </c>
      <c r="Q250" s="2">
        <v>0.1966</v>
      </c>
      <c r="R250">
        <v>8.24</v>
      </c>
      <c r="S250" s="1">
        <v>126253</v>
      </c>
      <c r="T250" s="2">
        <v>0.24360000000000001</v>
      </c>
      <c r="U250" s="3">
        <v>17.27</v>
      </c>
      <c r="V250" s="1">
        <v>8658</v>
      </c>
      <c r="W250" s="2">
        <v>1.61E-2</v>
      </c>
      <c r="X250" s="3">
        <v>17.96</v>
      </c>
      <c r="Y250" s="1">
        <v>35232</v>
      </c>
      <c r="Z250" s="2">
        <v>0.1484</v>
      </c>
      <c r="AA250" s="3">
        <v>7.91</v>
      </c>
      <c r="AB250" s="1">
        <v>1607</v>
      </c>
      <c r="AC250" s="2">
        <v>5.1000000000000004E-3</v>
      </c>
      <c r="AD250" s="3">
        <v>10.52</v>
      </c>
      <c r="AE250" s="1">
        <v>1268</v>
      </c>
      <c r="AF250" s="2">
        <v>2.8999999999999998E-3</v>
      </c>
      <c r="AG250" s="3">
        <v>14.82</v>
      </c>
    </row>
    <row r="251" spans="1:33" x14ac:dyDescent="0.75">
      <c r="A251" t="s">
        <v>287</v>
      </c>
      <c r="B251" s="1">
        <v>3626</v>
      </c>
      <c r="C251" s="2">
        <v>0.59430000000000005</v>
      </c>
      <c r="D251" s="2">
        <v>0.40570000000000001</v>
      </c>
      <c r="E251" s="2">
        <v>0</v>
      </c>
      <c r="F251" s="1">
        <v>3574</v>
      </c>
      <c r="G251">
        <v>52</v>
      </c>
      <c r="H251" s="1">
        <v>1351</v>
      </c>
      <c r="I251" s="1">
        <v>2275</v>
      </c>
      <c r="J251" s="2">
        <v>0.80530000000000002</v>
      </c>
      <c r="K251" s="2">
        <v>0</v>
      </c>
      <c r="L251" s="2">
        <v>1.77E-2</v>
      </c>
      <c r="M251" s="2">
        <v>2.29E-2</v>
      </c>
      <c r="N251" s="2">
        <v>0.14180000000000001</v>
      </c>
      <c r="O251" s="2">
        <v>1.24E-2</v>
      </c>
      <c r="P251" s="2">
        <v>0.22370000000000001</v>
      </c>
      <c r="Q251" s="2">
        <v>2.87E-2</v>
      </c>
      <c r="R251">
        <v>3.75</v>
      </c>
      <c r="S251" s="1">
        <v>56784</v>
      </c>
      <c r="T251" s="2">
        <v>0.12330000000000001</v>
      </c>
      <c r="U251" s="3">
        <v>33.869999999999997</v>
      </c>
      <c r="V251" s="1">
        <v>7484</v>
      </c>
      <c r="W251" s="2">
        <v>2.6100000000000002E-2</v>
      </c>
      <c r="X251" s="3">
        <v>21.12</v>
      </c>
      <c r="Y251" s="1">
        <v>3195</v>
      </c>
      <c r="Z251" s="2">
        <v>2.7E-2</v>
      </c>
      <c r="AA251" s="3">
        <v>8.7200000000000006</v>
      </c>
      <c r="AB251">
        <v>0</v>
      </c>
      <c r="AE251" s="1">
        <v>3927</v>
      </c>
      <c r="AF251" s="2">
        <v>1.5699999999999999E-2</v>
      </c>
      <c r="AG251" s="3">
        <v>18.39</v>
      </c>
    </row>
    <row r="252" spans="1:33" x14ac:dyDescent="0.75">
      <c r="A252" t="s">
        <v>288</v>
      </c>
      <c r="B252" s="1">
        <v>3581</v>
      </c>
      <c r="C252" s="2">
        <v>0.6361</v>
      </c>
      <c r="D252" s="2">
        <v>0.3639</v>
      </c>
      <c r="E252" s="2">
        <v>0</v>
      </c>
      <c r="F252" s="1">
        <v>3525</v>
      </c>
      <c r="G252">
        <v>56</v>
      </c>
      <c r="H252">
        <v>941</v>
      </c>
      <c r="I252" s="1">
        <v>2640</v>
      </c>
      <c r="J252" s="2">
        <v>0.67190000000000005</v>
      </c>
      <c r="K252" s="2">
        <v>0</v>
      </c>
      <c r="L252" s="2">
        <v>3.0999999999999999E-3</v>
      </c>
      <c r="M252" s="2">
        <v>4.3799999999999999E-2</v>
      </c>
      <c r="N252" s="2">
        <v>0.16389999999999999</v>
      </c>
      <c r="O252" s="2">
        <v>0.1173</v>
      </c>
      <c r="P252" s="2">
        <v>0.32250000000000001</v>
      </c>
      <c r="Q252" s="2">
        <v>2.3699999999999999E-2</v>
      </c>
      <c r="R252">
        <v>5.5</v>
      </c>
      <c r="S252" s="1">
        <v>34535</v>
      </c>
      <c r="T252" s="2">
        <v>8.0100000000000005E-2</v>
      </c>
      <c r="U252" s="3">
        <v>21.88</v>
      </c>
      <c r="V252" s="1">
        <v>9457</v>
      </c>
      <c r="W252" s="2">
        <v>2.46E-2</v>
      </c>
      <c r="X252" s="3">
        <v>19.510000000000002</v>
      </c>
      <c r="Y252" s="1">
        <v>4835</v>
      </c>
      <c r="Z252" s="2">
        <v>2.8500000000000001E-2</v>
      </c>
      <c r="AA252" s="3">
        <v>8.6199999999999992</v>
      </c>
      <c r="AB252">
        <v>908</v>
      </c>
      <c r="AC252" s="2">
        <v>4.0000000000000001E-3</v>
      </c>
      <c r="AD252" s="3">
        <v>11.47</v>
      </c>
      <c r="AE252" s="1">
        <v>11178</v>
      </c>
      <c r="AF252" s="2">
        <v>6.2700000000000006E-2</v>
      </c>
      <c r="AG252" s="3">
        <v>9.0500000000000007</v>
      </c>
    </row>
    <row r="253" spans="1:33" x14ac:dyDescent="0.75">
      <c r="A253" t="s">
        <v>289</v>
      </c>
      <c r="B253" s="1">
        <v>3546</v>
      </c>
      <c r="C253" s="2">
        <v>0.77470000000000006</v>
      </c>
      <c r="D253" s="2">
        <v>0.2253</v>
      </c>
      <c r="E253" s="2">
        <v>0</v>
      </c>
      <c r="F253" s="1">
        <v>3300</v>
      </c>
      <c r="G253">
        <v>246</v>
      </c>
      <c r="H253" s="1">
        <v>1029</v>
      </c>
      <c r="I253" s="1">
        <v>2517</v>
      </c>
      <c r="J253" s="2">
        <v>0.85109999999999997</v>
      </c>
      <c r="K253" s="2">
        <v>1.1000000000000001E-3</v>
      </c>
      <c r="L253" s="2">
        <v>8.0000000000000004E-4</v>
      </c>
      <c r="M253" s="2">
        <v>2.6499999999999999E-2</v>
      </c>
      <c r="N253" s="2">
        <v>9.3100000000000002E-2</v>
      </c>
      <c r="O253" s="2">
        <v>2.7400000000000001E-2</v>
      </c>
      <c r="P253" s="2">
        <v>0.192</v>
      </c>
      <c r="Q253" s="2">
        <v>0.17510000000000001</v>
      </c>
      <c r="R253">
        <v>3.76</v>
      </c>
      <c r="S253" s="1">
        <v>71239</v>
      </c>
      <c r="T253" s="2">
        <v>0.21479999999999999</v>
      </c>
      <c r="U253" s="3">
        <v>24.86</v>
      </c>
      <c r="V253" s="1">
        <v>29386</v>
      </c>
      <c r="W253" s="2">
        <v>0.128</v>
      </c>
      <c r="X253" s="3">
        <v>17.21</v>
      </c>
      <c r="Y253" s="1">
        <v>3333</v>
      </c>
      <c r="Z253" s="2">
        <v>2.5700000000000001E-2</v>
      </c>
      <c r="AA253" s="3">
        <v>9.7200000000000006</v>
      </c>
      <c r="AB253">
        <v>0</v>
      </c>
      <c r="AE253" s="1">
        <v>1492</v>
      </c>
      <c r="AF253" s="2">
        <v>1.6999999999999999E-3</v>
      </c>
      <c r="AG253" s="3">
        <v>65.22</v>
      </c>
    </row>
    <row r="254" spans="1:33" x14ac:dyDescent="0.75">
      <c r="A254" t="s">
        <v>290</v>
      </c>
      <c r="B254" s="1">
        <v>3525</v>
      </c>
      <c r="C254" s="2">
        <v>0.75490000000000002</v>
      </c>
      <c r="D254" s="2">
        <v>0.24510000000000001</v>
      </c>
      <c r="E254" s="2">
        <v>0</v>
      </c>
      <c r="F254" s="1">
        <v>3498</v>
      </c>
      <c r="G254">
        <v>27</v>
      </c>
      <c r="H254" s="1">
        <v>1196</v>
      </c>
      <c r="I254" s="1">
        <v>2329</v>
      </c>
      <c r="J254" s="2">
        <v>0.73499999999999999</v>
      </c>
      <c r="K254" s="2">
        <v>5.9999999999999995E-4</v>
      </c>
      <c r="L254" s="2">
        <v>2.8E-3</v>
      </c>
      <c r="M254" s="2">
        <v>3.2899999999999999E-2</v>
      </c>
      <c r="N254" s="2">
        <v>0.15459999999999999</v>
      </c>
      <c r="O254" s="2">
        <v>7.3999999999999996E-2</v>
      </c>
      <c r="P254" s="2">
        <v>0.42380000000000001</v>
      </c>
      <c r="Q254" s="2">
        <v>0.13589999999999999</v>
      </c>
      <c r="R254">
        <v>5.03</v>
      </c>
      <c r="S254" s="1">
        <v>80325</v>
      </c>
      <c r="T254" s="2">
        <v>0.1835</v>
      </c>
      <c r="U254" s="3">
        <v>24.68</v>
      </c>
      <c r="V254" s="1">
        <v>14530</v>
      </c>
      <c r="W254" s="2">
        <v>4.7300000000000002E-2</v>
      </c>
      <c r="X254" s="3">
        <v>17.309999999999999</v>
      </c>
      <c r="Y254" s="1">
        <v>11016</v>
      </c>
      <c r="Z254" s="2">
        <v>7.7700000000000005E-2</v>
      </c>
      <c r="AA254" s="3">
        <v>8</v>
      </c>
      <c r="AB254" s="1">
        <v>10627</v>
      </c>
      <c r="AC254" s="2">
        <v>2.1100000000000001E-2</v>
      </c>
      <c r="AD254" s="3">
        <v>28.45</v>
      </c>
      <c r="AE254" s="1">
        <v>4195</v>
      </c>
      <c r="AF254" s="2">
        <v>1.67E-2</v>
      </c>
      <c r="AG254" s="3">
        <v>14.21</v>
      </c>
    </row>
    <row r="255" spans="1:33" x14ac:dyDescent="0.75">
      <c r="A255" t="s">
        <v>291</v>
      </c>
      <c r="B255" s="1">
        <v>3486</v>
      </c>
      <c r="C255" s="2">
        <v>0.52610000000000001</v>
      </c>
      <c r="D255" s="2">
        <v>0.47389999999999999</v>
      </c>
      <c r="E255" s="2">
        <v>0</v>
      </c>
      <c r="F255" s="1">
        <v>3474</v>
      </c>
      <c r="G255">
        <v>12</v>
      </c>
      <c r="H255" s="1">
        <v>1069</v>
      </c>
      <c r="I255" s="1">
        <v>2417</v>
      </c>
      <c r="J255" s="2">
        <v>0.73519999999999996</v>
      </c>
      <c r="K255" s="2">
        <v>0</v>
      </c>
      <c r="L255" s="2">
        <v>5.9999999999999995E-4</v>
      </c>
      <c r="M255" s="2">
        <v>3.0700000000000002E-2</v>
      </c>
      <c r="N255" s="2">
        <v>0.1678</v>
      </c>
      <c r="O255" s="2">
        <v>6.5699999999999995E-2</v>
      </c>
      <c r="P255" s="2">
        <v>0.32529999999999998</v>
      </c>
      <c r="Q255" s="2">
        <v>3.2099999999999997E-2</v>
      </c>
      <c r="R255">
        <v>5.33</v>
      </c>
      <c r="S255" s="1">
        <v>57921</v>
      </c>
      <c r="T255" s="2">
        <v>0.1135</v>
      </c>
      <c r="U255" s="3">
        <v>27.47</v>
      </c>
      <c r="V255" s="1">
        <v>22185</v>
      </c>
      <c r="W255" s="2">
        <v>6.6699999999999995E-2</v>
      </c>
      <c r="X255" s="3">
        <v>17.91</v>
      </c>
      <c r="Y255" s="1">
        <v>4441</v>
      </c>
      <c r="Z255" s="2">
        <v>2.81E-2</v>
      </c>
      <c r="AA255" s="3">
        <v>8.52</v>
      </c>
      <c r="AB255" s="1">
        <v>3460</v>
      </c>
      <c r="AC255" s="2">
        <v>1.6500000000000001E-2</v>
      </c>
      <c r="AD255" s="3">
        <v>11.32</v>
      </c>
      <c r="AE255" s="1">
        <v>6268</v>
      </c>
      <c r="AF255" s="2">
        <v>3.3000000000000002E-2</v>
      </c>
      <c r="AG255" s="3">
        <v>10.210000000000001</v>
      </c>
    </row>
    <row r="256" spans="1:33" x14ac:dyDescent="0.75">
      <c r="A256" t="s">
        <v>292</v>
      </c>
      <c r="B256" s="1">
        <v>3469</v>
      </c>
      <c r="C256" s="2">
        <v>0.58399999999999996</v>
      </c>
      <c r="D256" s="2">
        <v>0.41599999999999998</v>
      </c>
      <c r="E256" s="2">
        <v>0</v>
      </c>
      <c r="F256" s="1">
        <v>3452</v>
      </c>
      <c r="G256">
        <v>17</v>
      </c>
      <c r="H256">
        <v>771</v>
      </c>
      <c r="I256" s="1">
        <v>2698</v>
      </c>
      <c r="J256" s="2">
        <v>0.70679999999999998</v>
      </c>
      <c r="K256" s="2">
        <v>0</v>
      </c>
      <c r="L256" s="2">
        <v>3.5000000000000001E-3</v>
      </c>
      <c r="M256" s="2">
        <v>4.6699999999999998E-2</v>
      </c>
      <c r="N256" s="2">
        <v>0.183</v>
      </c>
      <c r="O256" s="2">
        <v>0.06</v>
      </c>
      <c r="P256" s="2">
        <v>0.24940000000000001</v>
      </c>
      <c r="Q256" s="2">
        <v>6.9199999999999998E-2</v>
      </c>
      <c r="R256">
        <v>5.14</v>
      </c>
      <c r="S256" s="1">
        <v>89442</v>
      </c>
      <c r="T256" s="2">
        <v>0.19969999999999999</v>
      </c>
      <c r="U256" s="3">
        <v>25.14</v>
      </c>
      <c r="V256" s="1">
        <v>5595</v>
      </c>
      <c r="W256" s="2">
        <v>1.6299999999999999E-2</v>
      </c>
      <c r="X256" s="3">
        <v>19.25</v>
      </c>
      <c r="Y256" s="1">
        <v>3143</v>
      </c>
      <c r="Z256" s="2">
        <v>2.2499999999999999E-2</v>
      </c>
      <c r="AA256" s="3">
        <v>7.83</v>
      </c>
      <c r="AB256">
        <v>0</v>
      </c>
      <c r="AE256" s="1">
        <v>1190</v>
      </c>
      <c r="AF256" s="2">
        <v>3.8999999999999998E-3</v>
      </c>
      <c r="AG256" s="3">
        <v>17.309999999999999</v>
      </c>
    </row>
    <row r="257" spans="1:33" x14ac:dyDescent="0.75">
      <c r="A257" t="s">
        <v>293</v>
      </c>
      <c r="B257" s="1">
        <v>3428</v>
      </c>
      <c r="C257" s="2">
        <v>0.57879999999999998</v>
      </c>
      <c r="D257" s="2">
        <v>0.42120000000000002</v>
      </c>
      <c r="E257" s="2">
        <v>0</v>
      </c>
      <c r="F257" s="1">
        <v>3391</v>
      </c>
      <c r="G257">
        <v>37</v>
      </c>
      <c r="H257">
        <v>980</v>
      </c>
      <c r="I257" s="1">
        <v>2448</v>
      </c>
      <c r="J257" s="2">
        <v>0.74529999999999996</v>
      </c>
      <c r="K257" s="2">
        <v>2.9999999999999997E-4</v>
      </c>
      <c r="L257" s="2">
        <v>5.3E-3</v>
      </c>
      <c r="M257" s="2">
        <v>2.2499999999999999E-2</v>
      </c>
      <c r="N257" s="2">
        <v>0.20269999999999999</v>
      </c>
      <c r="O257" s="2">
        <v>2.3900000000000001E-2</v>
      </c>
      <c r="P257" s="2">
        <v>0.46789999999999998</v>
      </c>
      <c r="Q257" s="2">
        <v>1.78E-2</v>
      </c>
      <c r="R257">
        <v>4.34</v>
      </c>
      <c r="S257" s="1">
        <v>50719</v>
      </c>
      <c r="T257" s="2">
        <v>9.2700000000000005E-2</v>
      </c>
      <c r="U257" s="3">
        <v>36.729999999999997</v>
      </c>
      <c r="V257" s="1">
        <v>8589</v>
      </c>
      <c r="W257" s="2">
        <v>3.1099999999999999E-2</v>
      </c>
      <c r="X257" s="3">
        <v>18.53</v>
      </c>
      <c r="Y257" s="1">
        <v>2045</v>
      </c>
      <c r="Z257" s="2">
        <v>1.5599999999999999E-2</v>
      </c>
      <c r="AA257" s="3">
        <v>8.8000000000000007</v>
      </c>
      <c r="AB257">
        <v>549</v>
      </c>
      <c r="AC257" s="2">
        <v>3.0999999999999999E-3</v>
      </c>
      <c r="AD257" s="3">
        <v>11.8</v>
      </c>
      <c r="AE257" s="1">
        <v>9235</v>
      </c>
      <c r="AF257" s="2">
        <v>3.8199999999999998E-2</v>
      </c>
      <c r="AG257" s="3">
        <v>16.25</v>
      </c>
    </row>
    <row r="258" spans="1:33" x14ac:dyDescent="0.75">
      <c r="A258" t="s">
        <v>294</v>
      </c>
      <c r="B258" s="1">
        <v>3426</v>
      </c>
      <c r="C258" s="2">
        <v>0.85809999999999997</v>
      </c>
      <c r="D258" s="2">
        <v>0.1419</v>
      </c>
      <c r="E258" s="2">
        <v>0</v>
      </c>
      <c r="F258" s="1">
        <v>3373</v>
      </c>
      <c r="G258">
        <v>53</v>
      </c>
      <c r="H258" s="1">
        <v>2267</v>
      </c>
      <c r="I258" s="1">
        <v>1159</v>
      </c>
      <c r="J258" s="2">
        <v>0.751</v>
      </c>
      <c r="K258" s="2">
        <v>6.7000000000000002E-3</v>
      </c>
      <c r="L258" s="2">
        <v>6.1000000000000004E-3</v>
      </c>
      <c r="M258" s="2">
        <v>3.15E-2</v>
      </c>
      <c r="N258" s="2">
        <v>0.16020000000000001</v>
      </c>
      <c r="O258" s="2">
        <v>4.4400000000000002E-2</v>
      </c>
      <c r="P258" s="2">
        <v>0.59370000000000001</v>
      </c>
      <c r="Q258" s="2">
        <v>4.7000000000000002E-3</v>
      </c>
      <c r="R258">
        <v>4.6100000000000003</v>
      </c>
      <c r="S258" s="1">
        <v>30681</v>
      </c>
      <c r="T258" s="2">
        <v>7.0199999999999999E-2</v>
      </c>
      <c r="U258" s="3">
        <v>27.67</v>
      </c>
      <c r="V258" s="1">
        <v>12258</v>
      </c>
      <c r="W258" s="2">
        <v>4.3099999999999999E-2</v>
      </c>
      <c r="X258" s="3">
        <v>18.02</v>
      </c>
      <c r="Y258" s="1">
        <v>2146</v>
      </c>
      <c r="Z258" s="2">
        <v>1.5599999999999999E-2</v>
      </c>
      <c r="AA258" s="3">
        <v>8.6999999999999993</v>
      </c>
      <c r="AB258" s="1">
        <v>7347</v>
      </c>
      <c r="AC258" s="2">
        <v>3.1399999999999997E-2</v>
      </c>
      <c r="AD258" s="3">
        <v>14.83</v>
      </c>
      <c r="AE258" s="1">
        <v>1097</v>
      </c>
      <c r="AF258" s="2">
        <v>5.7999999999999996E-3</v>
      </c>
      <c r="AG258" s="3">
        <v>11.92</v>
      </c>
    </row>
    <row r="259" spans="1:33" x14ac:dyDescent="0.75">
      <c r="A259" t="s">
        <v>295</v>
      </c>
      <c r="B259" s="1">
        <v>3425</v>
      </c>
      <c r="C259" s="2">
        <v>0.71499999999999997</v>
      </c>
      <c r="D259" s="2">
        <v>0.28499999999999998</v>
      </c>
      <c r="E259" s="2">
        <v>0</v>
      </c>
      <c r="F259" s="1">
        <v>3382</v>
      </c>
      <c r="G259">
        <v>43</v>
      </c>
      <c r="H259" s="1">
        <v>1290</v>
      </c>
      <c r="I259" s="1">
        <v>2135</v>
      </c>
      <c r="J259" s="2">
        <v>0.79420000000000002</v>
      </c>
      <c r="K259" s="2">
        <v>2.9999999999999997E-4</v>
      </c>
      <c r="L259" s="2">
        <v>2.4500000000000001E-2</v>
      </c>
      <c r="M259" s="2">
        <v>3.8E-3</v>
      </c>
      <c r="N259" s="2">
        <v>0.16819999999999999</v>
      </c>
      <c r="O259" s="2">
        <v>9.1000000000000004E-3</v>
      </c>
      <c r="P259" s="2">
        <v>0.24929999999999999</v>
      </c>
      <c r="Q259" s="2">
        <v>2.92E-2</v>
      </c>
      <c r="R259">
        <v>4.09</v>
      </c>
      <c r="S259" s="1">
        <v>65178</v>
      </c>
      <c r="T259" s="2">
        <v>0.1547</v>
      </c>
      <c r="U259" s="3">
        <v>30.1</v>
      </c>
      <c r="V259" s="1">
        <v>21325</v>
      </c>
      <c r="W259" s="2">
        <v>8.1699999999999995E-2</v>
      </c>
      <c r="X259" s="3">
        <v>18.649999999999999</v>
      </c>
      <c r="Y259" s="1">
        <v>3958</v>
      </c>
      <c r="Z259" s="2">
        <v>3.2199999999999999E-2</v>
      </c>
      <c r="AA259" s="3">
        <v>8.7799999999999994</v>
      </c>
      <c r="AB259">
        <v>0</v>
      </c>
      <c r="AE259" s="1">
        <v>10414</v>
      </c>
      <c r="AF259" s="2">
        <v>5.28E-2</v>
      </c>
      <c r="AG259" s="3">
        <v>14.08</v>
      </c>
    </row>
    <row r="260" spans="1:33" x14ac:dyDescent="0.75">
      <c r="A260" t="s">
        <v>296</v>
      </c>
      <c r="B260" s="1">
        <v>3375</v>
      </c>
      <c r="C260" s="2">
        <v>0.52710000000000001</v>
      </c>
      <c r="D260" s="2">
        <v>0.47289999999999999</v>
      </c>
      <c r="E260" s="2">
        <v>0</v>
      </c>
      <c r="F260" s="1">
        <v>3327</v>
      </c>
      <c r="G260">
        <v>48</v>
      </c>
      <c r="H260" s="1">
        <v>1028</v>
      </c>
      <c r="I260" s="1">
        <v>2347</v>
      </c>
      <c r="J260" s="2">
        <v>0.82640000000000002</v>
      </c>
      <c r="K260" s="2">
        <v>0</v>
      </c>
      <c r="L260" s="2">
        <v>1.1999999999999999E-3</v>
      </c>
      <c r="M260" s="2">
        <v>8.6E-3</v>
      </c>
      <c r="N260" s="2">
        <v>0.13070000000000001</v>
      </c>
      <c r="O260" s="2">
        <v>3.32E-2</v>
      </c>
      <c r="P260" s="2">
        <v>0.2213</v>
      </c>
      <c r="Q260" s="2">
        <v>5.8999999999999997E-2</v>
      </c>
      <c r="R260">
        <v>6.05</v>
      </c>
      <c r="S260" s="1">
        <v>68004</v>
      </c>
      <c r="T260" s="2">
        <v>8.4900000000000003E-2</v>
      </c>
      <c r="U260" s="3">
        <v>39.24</v>
      </c>
      <c r="V260" s="1">
        <v>10354</v>
      </c>
      <c r="W260" s="2">
        <v>2.9899999999999999E-2</v>
      </c>
      <c r="X260" s="3">
        <v>16.989999999999998</v>
      </c>
      <c r="Y260" s="1">
        <v>5450</v>
      </c>
      <c r="Z260" s="2">
        <v>2.9499999999999998E-2</v>
      </c>
      <c r="AA260" s="3">
        <v>9.07</v>
      </c>
      <c r="AB260" s="1">
        <v>10052</v>
      </c>
      <c r="AC260" s="2">
        <v>3.7900000000000003E-2</v>
      </c>
      <c r="AD260" s="3">
        <v>13.01</v>
      </c>
      <c r="AE260" s="1">
        <v>2919</v>
      </c>
      <c r="AF260" s="2">
        <v>8.3000000000000001E-3</v>
      </c>
      <c r="AG260" s="3">
        <v>17.3</v>
      </c>
    </row>
    <row r="261" spans="1:33" x14ac:dyDescent="0.75">
      <c r="A261" t="s">
        <v>297</v>
      </c>
      <c r="B261" s="1">
        <v>3343</v>
      </c>
      <c r="C261" s="2">
        <v>0.8427</v>
      </c>
      <c r="D261" s="2">
        <v>0.1573</v>
      </c>
      <c r="E261" s="2">
        <v>0</v>
      </c>
      <c r="F261" s="1">
        <v>3151</v>
      </c>
      <c r="G261">
        <v>192</v>
      </c>
      <c r="H261" s="1">
        <v>1032</v>
      </c>
      <c r="I261" s="1">
        <v>2311</v>
      </c>
      <c r="J261" s="2">
        <v>0.87739999999999996</v>
      </c>
      <c r="K261" s="2">
        <v>4.7999999999999996E-3</v>
      </c>
      <c r="L261" s="2">
        <v>2.9999999999999997E-4</v>
      </c>
      <c r="M261" s="2">
        <v>4.1300000000000003E-2</v>
      </c>
      <c r="N261" s="2">
        <v>7.0300000000000001E-2</v>
      </c>
      <c r="O261" s="2">
        <v>6.0000000000000001E-3</v>
      </c>
      <c r="P261" s="2">
        <v>0.46870000000000001</v>
      </c>
      <c r="Q261" s="2">
        <v>6.6400000000000001E-2</v>
      </c>
      <c r="R261">
        <v>2.34</v>
      </c>
      <c r="S261" s="1">
        <v>34881</v>
      </c>
      <c r="T261" s="2">
        <v>0.1149</v>
      </c>
      <c r="U261" s="3">
        <v>38.74</v>
      </c>
      <c r="V261" s="1">
        <v>14649</v>
      </c>
      <c r="W261" s="2">
        <v>8.6499999999999994E-2</v>
      </c>
      <c r="X261" s="3">
        <v>21.62</v>
      </c>
      <c r="Y261" s="1">
        <v>5171</v>
      </c>
      <c r="Z261" s="2">
        <v>6.8400000000000002E-2</v>
      </c>
      <c r="AA261" s="3">
        <v>9.65</v>
      </c>
      <c r="AB261">
        <v>0</v>
      </c>
      <c r="AE261" s="1">
        <v>3438</v>
      </c>
      <c r="AF261" s="2">
        <v>1.2500000000000001E-2</v>
      </c>
      <c r="AG261" s="3">
        <v>35.21</v>
      </c>
    </row>
    <row r="262" spans="1:33" x14ac:dyDescent="0.75">
      <c r="A262" t="s">
        <v>298</v>
      </c>
      <c r="B262" s="1">
        <v>3342</v>
      </c>
      <c r="C262" s="2">
        <v>1</v>
      </c>
      <c r="D262" s="2">
        <v>0</v>
      </c>
      <c r="E262" s="2">
        <v>0</v>
      </c>
      <c r="F262" s="1">
        <v>3300</v>
      </c>
      <c r="G262">
        <v>42</v>
      </c>
      <c r="H262" s="1">
        <v>2839</v>
      </c>
      <c r="I262">
        <v>503</v>
      </c>
      <c r="J262" s="2">
        <v>0.85370000000000001</v>
      </c>
      <c r="K262" s="2">
        <v>0</v>
      </c>
      <c r="L262" s="2">
        <v>2.9999999999999997E-4</v>
      </c>
      <c r="M262" s="2">
        <v>8.9999999999999998E-4</v>
      </c>
      <c r="N262" s="2">
        <v>0.10199999999999999</v>
      </c>
      <c r="O262" s="2">
        <v>4.3099999999999999E-2</v>
      </c>
      <c r="P262" s="2">
        <v>0.81210000000000004</v>
      </c>
      <c r="Q262" s="2">
        <v>8.0999999999999996E-3</v>
      </c>
      <c r="R262">
        <v>4.41</v>
      </c>
      <c r="S262" s="1">
        <v>12046</v>
      </c>
      <c r="T262" s="2">
        <v>2.4899999999999999E-2</v>
      </c>
      <c r="U262" s="3">
        <v>32.81</v>
      </c>
      <c r="V262" s="1">
        <v>2599</v>
      </c>
      <c r="W262" s="2">
        <v>8.3999999999999995E-3</v>
      </c>
      <c r="X262" s="3">
        <v>20.91</v>
      </c>
      <c r="Y262" s="1">
        <v>1830</v>
      </c>
      <c r="Z262" s="2">
        <v>1.32E-2</v>
      </c>
      <c r="AA262" s="3">
        <v>9.41</v>
      </c>
      <c r="AB262" s="1">
        <v>1037</v>
      </c>
      <c r="AC262" s="2">
        <v>5.0000000000000001E-3</v>
      </c>
      <c r="AD262" s="3">
        <v>13.95</v>
      </c>
      <c r="AE262">
        <v>541</v>
      </c>
      <c r="AF262" s="2">
        <v>3.0999999999999999E-3</v>
      </c>
      <c r="AG262" s="3">
        <v>11.83</v>
      </c>
    </row>
    <row r="263" spans="1:33" x14ac:dyDescent="0.75">
      <c r="A263" t="s">
        <v>299</v>
      </c>
      <c r="B263" s="1">
        <v>3301</v>
      </c>
      <c r="C263" s="2">
        <v>1</v>
      </c>
      <c r="D263" s="2">
        <v>0</v>
      </c>
      <c r="E263" s="2">
        <v>0</v>
      </c>
      <c r="F263" s="1">
        <v>3283</v>
      </c>
      <c r="G263">
        <v>18</v>
      </c>
      <c r="H263" s="1">
        <v>1368</v>
      </c>
      <c r="I263" s="1">
        <v>1933</v>
      </c>
      <c r="J263" s="2">
        <v>0.8004</v>
      </c>
      <c r="K263" s="2">
        <v>2.06E-2</v>
      </c>
      <c r="L263" s="2">
        <v>7.3000000000000001E-3</v>
      </c>
      <c r="M263" s="2">
        <v>7.0000000000000001E-3</v>
      </c>
      <c r="N263" s="2">
        <v>0.14630000000000001</v>
      </c>
      <c r="O263" s="2">
        <v>1.8499999999999999E-2</v>
      </c>
      <c r="P263" s="2">
        <v>0.4017</v>
      </c>
      <c r="Q263" s="2">
        <v>9.1800000000000007E-2</v>
      </c>
      <c r="R263">
        <v>3.56</v>
      </c>
      <c r="S263" s="1">
        <v>36822</v>
      </c>
      <c r="T263" s="2">
        <v>8.2600000000000007E-2</v>
      </c>
      <c r="U263" s="3">
        <v>37.94</v>
      </c>
      <c r="V263" s="1">
        <v>19338</v>
      </c>
      <c r="W263" s="2">
        <v>8.2199999999999995E-2</v>
      </c>
      <c r="X263" s="3">
        <v>20.010000000000002</v>
      </c>
      <c r="Y263" s="1">
        <v>3818</v>
      </c>
      <c r="Z263" s="2">
        <v>3.5099999999999999E-2</v>
      </c>
      <c r="AA263" s="3">
        <v>9.24</v>
      </c>
      <c r="AB263" s="1">
        <v>5384</v>
      </c>
      <c r="AC263" s="2">
        <v>2.6800000000000001E-2</v>
      </c>
      <c r="AD263" s="3">
        <v>17.07</v>
      </c>
      <c r="AE263" s="1">
        <v>4747</v>
      </c>
      <c r="AF263" s="2">
        <v>2.63E-2</v>
      </c>
      <c r="AG263" s="3">
        <v>15.37</v>
      </c>
    </row>
    <row r="264" spans="1:33" x14ac:dyDescent="0.75">
      <c r="A264" t="s">
        <v>300</v>
      </c>
      <c r="B264" s="1">
        <v>3245</v>
      </c>
      <c r="C264" s="2">
        <v>0.58640000000000003</v>
      </c>
      <c r="D264" s="2">
        <v>0.41360000000000002</v>
      </c>
      <c r="E264" s="2">
        <v>0</v>
      </c>
      <c r="F264" s="1">
        <v>3226</v>
      </c>
      <c r="G264">
        <v>19</v>
      </c>
      <c r="H264" s="1">
        <v>1086</v>
      </c>
      <c r="I264" s="1">
        <v>2159</v>
      </c>
      <c r="J264" s="2">
        <v>0.70479999999999998</v>
      </c>
      <c r="K264" s="2">
        <v>2.9999999999999997E-4</v>
      </c>
      <c r="L264" s="2">
        <v>2.1899999999999999E-2</v>
      </c>
      <c r="M264" s="2">
        <v>2.2200000000000001E-2</v>
      </c>
      <c r="N264" s="2">
        <v>0.1883</v>
      </c>
      <c r="O264" s="2">
        <v>6.2600000000000003E-2</v>
      </c>
      <c r="P264" s="2">
        <v>0.32850000000000001</v>
      </c>
      <c r="Q264" s="2">
        <v>0.02</v>
      </c>
      <c r="R264">
        <v>5.48</v>
      </c>
      <c r="S264" s="1">
        <v>44799</v>
      </c>
      <c r="T264" s="2">
        <v>7.22E-2</v>
      </c>
      <c r="U264" s="3">
        <v>34.9</v>
      </c>
      <c r="V264" s="1">
        <v>6110</v>
      </c>
      <c r="W264" s="2">
        <v>1.8499999999999999E-2</v>
      </c>
      <c r="X264" s="3">
        <v>18.559999999999999</v>
      </c>
      <c r="Y264" s="1">
        <v>6653</v>
      </c>
      <c r="Z264" s="2">
        <v>4.6300000000000001E-2</v>
      </c>
      <c r="AA264" s="3">
        <v>8.09</v>
      </c>
      <c r="AB264" s="1">
        <v>3408</v>
      </c>
      <c r="AC264" s="2">
        <v>1.09E-2</v>
      </c>
      <c r="AD264" s="3">
        <v>17.66</v>
      </c>
      <c r="AE264" s="1">
        <v>2620</v>
      </c>
      <c r="AF264" s="2">
        <v>9.7999999999999997E-3</v>
      </c>
      <c r="AG264" s="3">
        <v>14.96</v>
      </c>
    </row>
    <row r="265" spans="1:33" x14ac:dyDescent="0.75">
      <c r="A265" t="s">
        <v>301</v>
      </c>
      <c r="B265" s="1">
        <v>3184</v>
      </c>
      <c r="C265" s="2">
        <v>0.63939999999999997</v>
      </c>
      <c r="D265" s="2">
        <v>0.36059999999999998</v>
      </c>
      <c r="E265" s="2">
        <v>0</v>
      </c>
      <c r="F265" s="1">
        <v>3165</v>
      </c>
      <c r="G265">
        <v>19</v>
      </c>
      <c r="H265">
        <v>775</v>
      </c>
      <c r="I265" s="1">
        <v>2409</v>
      </c>
      <c r="J265" s="2">
        <v>0.82630000000000003</v>
      </c>
      <c r="K265" s="2">
        <v>0</v>
      </c>
      <c r="L265" s="2">
        <v>8.2000000000000007E-3</v>
      </c>
      <c r="M265" s="2">
        <v>1.4800000000000001E-2</v>
      </c>
      <c r="N265" s="2">
        <v>0.12720000000000001</v>
      </c>
      <c r="O265" s="2">
        <v>2.3599999999999999E-2</v>
      </c>
      <c r="P265" s="2">
        <v>0.20569999999999999</v>
      </c>
      <c r="Q265" s="2">
        <v>0.14510000000000001</v>
      </c>
      <c r="R265">
        <v>4.0599999999999996</v>
      </c>
      <c r="S265" s="1">
        <v>44185</v>
      </c>
      <c r="T265" s="2">
        <v>9.98E-2</v>
      </c>
      <c r="U265" s="3">
        <v>34.28</v>
      </c>
      <c r="V265" s="1">
        <v>3322</v>
      </c>
      <c r="W265" s="2">
        <v>1.2E-2</v>
      </c>
      <c r="X265" s="3">
        <v>21.47</v>
      </c>
      <c r="Y265" s="1">
        <v>1108</v>
      </c>
      <c r="Z265" s="2">
        <v>1.0200000000000001E-2</v>
      </c>
      <c r="AA265" s="3">
        <v>8.4</v>
      </c>
      <c r="AB265">
        <v>0</v>
      </c>
      <c r="AE265" s="1">
        <v>1330</v>
      </c>
      <c r="AF265" s="2">
        <v>5.7000000000000002E-3</v>
      </c>
      <c r="AG265" s="3">
        <v>18.05</v>
      </c>
    </row>
    <row r="266" spans="1:33" x14ac:dyDescent="0.75">
      <c r="A266" t="s">
        <v>302</v>
      </c>
      <c r="B266" s="1">
        <v>2996</v>
      </c>
      <c r="C266" s="2">
        <v>0.60780000000000001</v>
      </c>
      <c r="D266" s="2">
        <v>0.39219999999999999</v>
      </c>
      <c r="E266" s="2">
        <v>0</v>
      </c>
      <c r="F266" s="1">
        <v>2955</v>
      </c>
      <c r="G266">
        <v>41</v>
      </c>
      <c r="H266">
        <v>999</v>
      </c>
      <c r="I266" s="1">
        <v>1997</v>
      </c>
      <c r="J266" s="2">
        <v>0.80169999999999997</v>
      </c>
      <c r="K266" s="2">
        <v>0</v>
      </c>
      <c r="L266" s="2">
        <v>0</v>
      </c>
      <c r="M266" s="2">
        <v>1.23E-2</v>
      </c>
      <c r="N266" s="2">
        <v>0.14849999999999999</v>
      </c>
      <c r="O266" s="2">
        <v>3.7400000000000003E-2</v>
      </c>
      <c r="P266" s="2">
        <v>0.3241</v>
      </c>
      <c r="Q266" s="2">
        <v>3.5999999999999997E-2</v>
      </c>
      <c r="R266">
        <v>4.79</v>
      </c>
      <c r="S266" s="1">
        <v>57853</v>
      </c>
      <c r="T266" s="2">
        <v>0.12790000000000001</v>
      </c>
      <c r="U266" s="3">
        <v>31.53</v>
      </c>
      <c r="V266" s="1">
        <v>27210</v>
      </c>
      <c r="W266" s="2">
        <v>9.64E-2</v>
      </c>
      <c r="X266" s="3">
        <v>19.670000000000002</v>
      </c>
      <c r="Y266" s="1">
        <v>3539</v>
      </c>
      <c r="Z266" s="2">
        <v>2.86E-2</v>
      </c>
      <c r="AA266" s="3">
        <v>8.64</v>
      </c>
      <c r="AB266" s="1">
        <v>1557</v>
      </c>
      <c r="AC266" s="2">
        <v>8.6999999999999994E-3</v>
      </c>
      <c r="AD266" s="3">
        <v>12.54</v>
      </c>
      <c r="AE266" s="1">
        <v>3532</v>
      </c>
      <c r="AF266" s="2">
        <v>1.95E-2</v>
      </c>
      <c r="AG266" s="3">
        <v>12.65</v>
      </c>
    </row>
    <row r="267" spans="1:33" x14ac:dyDescent="0.75">
      <c r="A267" t="s">
        <v>303</v>
      </c>
      <c r="B267" s="1">
        <v>2991</v>
      </c>
      <c r="C267" s="2">
        <v>0.85619999999999996</v>
      </c>
      <c r="D267" s="2">
        <v>0.14380000000000001</v>
      </c>
      <c r="E267" s="2">
        <v>0</v>
      </c>
      <c r="F267" s="1">
        <v>2965</v>
      </c>
      <c r="G267">
        <v>26</v>
      </c>
      <c r="H267" s="1">
        <v>1315</v>
      </c>
      <c r="I267" s="1">
        <v>1676</v>
      </c>
      <c r="J267" s="2">
        <v>0.70979999999999999</v>
      </c>
      <c r="K267" s="2">
        <v>0</v>
      </c>
      <c r="L267" s="2">
        <v>7.4000000000000003E-3</v>
      </c>
      <c r="M267" s="2">
        <v>1.6400000000000001E-2</v>
      </c>
      <c r="N267" s="2">
        <v>0.1802</v>
      </c>
      <c r="O267" s="2">
        <v>8.6300000000000002E-2</v>
      </c>
      <c r="P267" s="2">
        <v>0.33</v>
      </c>
      <c r="Q267" s="2">
        <v>5.28E-2</v>
      </c>
      <c r="R267">
        <v>4.46</v>
      </c>
      <c r="S267" s="1">
        <v>69805</v>
      </c>
      <c r="T267" s="2">
        <v>0.1394</v>
      </c>
      <c r="U267" s="3">
        <v>37.54</v>
      </c>
      <c r="V267" s="1">
        <v>3449</v>
      </c>
      <c r="W267" s="2">
        <v>1.3599999999999999E-2</v>
      </c>
      <c r="X267" s="3">
        <v>18.989999999999998</v>
      </c>
      <c r="Y267" s="1">
        <v>4145</v>
      </c>
      <c r="Z267" s="2">
        <v>3.44E-2</v>
      </c>
      <c r="AA267" s="3">
        <v>9.02</v>
      </c>
      <c r="AB267" s="1">
        <v>2819</v>
      </c>
      <c r="AC267" s="2">
        <v>1.77E-2</v>
      </c>
      <c r="AD267" s="3">
        <v>11.95</v>
      </c>
      <c r="AE267" s="1">
        <v>3579</v>
      </c>
      <c r="AF267" s="2">
        <v>2.1299999999999999E-2</v>
      </c>
      <c r="AG267" s="3">
        <v>12.58</v>
      </c>
    </row>
    <row r="268" spans="1:33" x14ac:dyDescent="0.75">
      <c r="A268" t="s">
        <v>304</v>
      </c>
      <c r="B268" s="1">
        <v>2917</v>
      </c>
      <c r="C268" s="2">
        <v>1</v>
      </c>
      <c r="D268" s="2">
        <v>0</v>
      </c>
      <c r="E268" s="2">
        <v>0</v>
      </c>
      <c r="F268" s="1">
        <v>2639</v>
      </c>
      <c r="G268">
        <v>278</v>
      </c>
      <c r="H268">
        <v>623</v>
      </c>
      <c r="I268" s="1">
        <v>2294</v>
      </c>
      <c r="J268" s="2">
        <v>0.60199999999999998</v>
      </c>
      <c r="K268" s="2">
        <v>2.9999999999999997E-4</v>
      </c>
      <c r="L268" s="2">
        <v>6.9199999999999998E-2</v>
      </c>
      <c r="M268" s="2">
        <v>3.8699999999999998E-2</v>
      </c>
      <c r="N268" s="2">
        <v>0.24310000000000001</v>
      </c>
      <c r="O268" s="2">
        <v>4.6600000000000003E-2</v>
      </c>
      <c r="P268" s="2">
        <v>0.26640000000000003</v>
      </c>
      <c r="Q268" s="2">
        <v>0.1176</v>
      </c>
      <c r="R268">
        <v>4.28</v>
      </c>
      <c r="S268" s="1">
        <v>86763</v>
      </c>
      <c r="T268" s="2">
        <v>0.1893</v>
      </c>
      <c r="U268" s="3">
        <v>36.729999999999997</v>
      </c>
      <c r="V268" s="1">
        <v>20971</v>
      </c>
      <c r="W268" s="2">
        <v>0.1072</v>
      </c>
      <c r="X268" s="3">
        <v>15.67</v>
      </c>
      <c r="Y268" s="1">
        <v>13775</v>
      </c>
      <c r="Z268" s="2">
        <v>0.1246</v>
      </c>
      <c r="AA268" s="3">
        <v>8.86</v>
      </c>
      <c r="AB268">
        <v>0</v>
      </c>
      <c r="AE268" s="1">
        <v>5627</v>
      </c>
      <c r="AF268" s="2">
        <v>3.0200000000000001E-2</v>
      </c>
      <c r="AG268" s="3">
        <v>14.95</v>
      </c>
    </row>
    <row r="269" spans="1:33" x14ac:dyDescent="0.75">
      <c r="A269" t="s">
        <v>305</v>
      </c>
      <c r="B269" s="1">
        <v>2876</v>
      </c>
      <c r="C269" s="2">
        <v>0.67869999999999997</v>
      </c>
      <c r="D269" s="2">
        <v>0.32129999999999997</v>
      </c>
      <c r="E269" s="2">
        <v>0</v>
      </c>
      <c r="F269" s="1">
        <v>2853</v>
      </c>
      <c r="G269">
        <v>23</v>
      </c>
      <c r="H269">
        <v>875</v>
      </c>
      <c r="I269" s="1">
        <v>2001</v>
      </c>
      <c r="J269" s="2">
        <v>0.72640000000000005</v>
      </c>
      <c r="K269" s="2">
        <v>2.9999999999999997E-4</v>
      </c>
      <c r="L269" s="2">
        <v>3.0999999999999999E-3</v>
      </c>
      <c r="M269" s="2">
        <v>2.5399999999999999E-2</v>
      </c>
      <c r="N269" s="2">
        <v>0.19539999999999999</v>
      </c>
      <c r="O269" s="2">
        <v>4.9399999999999999E-2</v>
      </c>
      <c r="P269" s="2">
        <v>0.2601</v>
      </c>
      <c r="Q269" s="2">
        <v>5.67E-2</v>
      </c>
      <c r="R269">
        <v>4.18</v>
      </c>
      <c r="S269" s="1">
        <v>37513</v>
      </c>
      <c r="T269" s="2">
        <v>7.6100000000000001E-2</v>
      </c>
      <c r="U269" s="3">
        <v>40.96</v>
      </c>
      <c r="V269" s="1">
        <v>8566</v>
      </c>
      <c r="W269" s="2">
        <v>3.7999999999999999E-2</v>
      </c>
      <c r="X269" s="3">
        <v>18.72</v>
      </c>
      <c r="Y269" s="1">
        <v>3614</v>
      </c>
      <c r="Z269" s="2">
        <v>3.1699999999999999E-2</v>
      </c>
      <c r="AA269" s="3">
        <v>9.48</v>
      </c>
      <c r="AB269" s="1">
        <v>1259</v>
      </c>
      <c r="AC269" s="2">
        <v>7.9000000000000008E-3</v>
      </c>
      <c r="AD269" s="3">
        <v>13.19</v>
      </c>
      <c r="AE269" s="1">
        <v>2198</v>
      </c>
      <c r="AF269" s="2">
        <v>8.9999999999999993E-3</v>
      </c>
      <c r="AG269" s="3">
        <v>20.28</v>
      </c>
    </row>
    <row r="270" spans="1:33" x14ac:dyDescent="0.75">
      <c r="A270" t="s">
        <v>306</v>
      </c>
      <c r="B270" s="1">
        <v>2820</v>
      </c>
      <c r="C270" s="2">
        <v>0.45390000000000003</v>
      </c>
      <c r="D270" s="2">
        <v>0.54610000000000003</v>
      </c>
      <c r="E270" s="2">
        <v>0</v>
      </c>
      <c r="F270" s="1">
        <v>2807</v>
      </c>
      <c r="G270">
        <v>13</v>
      </c>
      <c r="H270">
        <v>738</v>
      </c>
      <c r="I270" s="1">
        <v>2082</v>
      </c>
      <c r="J270" s="2">
        <v>0.84219999999999995</v>
      </c>
      <c r="K270" s="2">
        <v>4.0000000000000002E-4</v>
      </c>
      <c r="L270" s="2">
        <v>4.0000000000000002E-4</v>
      </c>
      <c r="M270" s="2">
        <v>9.5999999999999992E-3</v>
      </c>
      <c r="N270" s="2">
        <v>0.1099</v>
      </c>
      <c r="O270" s="2">
        <v>3.7600000000000001E-2</v>
      </c>
      <c r="P270" s="2">
        <v>0.22409999999999999</v>
      </c>
      <c r="Q270" s="2">
        <v>4.82E-2</v>
      </c>
      <c r="R270">
        <v>5.23</v>
      </c>
      <c r="S270" s="1">
        <v>61539</v>
      </c>
      <c r="T270" s="2">
        <v>0.11260000000000001</v>
      </c>
      <c r="U270" s="3">
        <v>37.08</v>
      </c>
      <c r="V270" s="1">
        <v>10639</v>
      </c>
      <c r="W270" s="2">
        <v>3.5499999999999997E-2</v>
      </c>
      <c r="X270" s="3">
        <v>20.34</v>
      </c>
      <c r="Y270" s="1">
        <v>1740</v>
      </c>
      <c r="Z270" s="2">
        <v>1.2699999999999999E-2</v>
      </c>
      <c r="AA270" s="3">
        <v>9.2899999999999991</v>
      </c>
      <c r="AB270" s="1">
        <v>3992</v>
      </c>
      <c r="AC270" s="2">
        <v>1.9699999999999999E-2</v>
      </c>
      <c r="AD270" s="3">
        <v>13.72</v>
      </c>
      <c r="AE270" s="1">
        <v>2661</v>
      </c>
      <c r="AF270" s="2">
        <v>1.55E-2</v>
      </c>
      <c r="AG270" s="3">
        <v>11.64</v>
      </c>
    </row>
    <row r="271" spans="1:33" x14ac:dyDescent="0.75">
      <c r="A271" t="s">
        <v>307</v>
      </c>
      <c r="B271" s="1">
        <v>2722</v>
      </c>
      <c r="C271" s="2">
        <v>0.54630000000000001</v>
      </c>
      <c r="D271" s="2">
        <v>0.45369999999999999</v>
      </c>
      <c r="E271" s="2">
        <v>0</v>
      </c>
      <c r="F271" s="1">
        <v>2683</v>
      </c>
      <c r="G271">
        <v>39</v>
      </c>
      <c r="H271">
        <v>920</v>
      </c>
      <c r="I271" s="1">
        <v>1802</v>
      </c>
      <c r="J271" s="2">
        <v>0.87729999999999997</v>
      </c>
      <c r="K271" s="2">
        <v>0</v>
      </c>
      <c r="L271" s="2">
        <v>4.0000000000000002E-4</v>
      </c>
      <c r="M271" s="2">
        <v>4.4000000000000003E-3</v>
      </c>
      <c r="N271" s="2">
        <v>9.5500000000000002E-2</v>
      </c>
      <c r="O271" s="2">
        <v>2.24E-2</v>
      </c>
      <c r="P271" s="2">
        <v>0.29609999999999997</v>
      </c>
      <c r="Q271" s="2">
        <v>5.0700000000000002E-2</v>
      </c>
      <c r="R271">
        <v>4.68</v>
      </c>
      <c r="S271" s="1">
        <v>29756</v>
      </c>
      <c r="T271" s="2">
        <v>6.88E-2</v>
      </c>
      <c r="U271" s="3">
        <v>33.950000000000003</v>
      </c>
      <c r="V271" s="1">
        <v>6645</v>
      </c>
      <c r="W271" s="2">
        <v>3.0099999999999998E-2</v>
      </c>
      <c r="X271" s="3">
        <v>17.36</v>
      </c>
      <c r="Y271" s="1">
        <v>2665</v>
      </c>
      <c r="Z271" s="2">
        <v>2.86E-2</v>
      </c>
      <c r="AA271" s="3">
        <v>7.31</v>
      </c>
      <c r="AB271" s="1">
        <v>2471</v>
      </c>
      <c r="AC271" s="2">
        <v>9.1000000000000004E-3</v>
      </c>
      <c r="AD271" s="3">
        <v>21.43</v>
      </c>
      <c r="AE271" s="1">
        <v>4240</v>
      </c>
      <c r="AF271" s="2">
        <v>2.3300000000000001E-2</v>
      </c>
      <c r="AG271" s="3">
        <v>14.32</v>
      </c>
    </row>
    <row r="272" spans="1:33" x14ac:dyDescent="0.75">
      <c r="A272" t="s">
        <v>308</v>
      </c>
      <c r="B272" s="1">
        <v>2667</v>
      </c>
      <c r="C272" s="2">
        <v>0.46829999999999999</v>
      </c>
      <c r="D272" s="2">
        <v>0.53169999999999995</v>
      </c>
      <c r="E272" s="2">
        <v>0</v>
      </c>
      <c r="F272" s="1">
        <v>2607</v>
      </c>
      <c r="G272">
        <v>60</v>
      </c>
      <c r="H272">
        <v>538</v>
      </c>
      <c r="I272" s="1">
        <v>2129</v>
      </c>
      <c r="J272" s="2">
        <v>0.78290000000000004</v>
      </c>
      <c r="K272" s="2">
        <v>0</v>
      </c>
      <c r="L272" s="2">
        <v>2.2000000000000001E-3</v>
      </c>
      <c r="M272" s="2">
        <v>2.9600000000000001E-2</v>
      </c>
      <c r="N272" s="2">
        <v>0.14849999999999999</v>
      </c>
      <c r="O272" s="2">
        <v>3.6700000000000003E-2</v>
      </c>
      <c r="P272" s="2">
        <v>0.3296</v>
      </c>
      <c r="Q272" s="2">
        <v>2.1399999999999999E-2</v>
      </c>
      <c r="R272">
        <v>4.26</v>
      </c>
      <c r="S272" s="1">
        <v>42478</v>
      </c>
      <c r="T272" s="2">
        <v>0.13370000000000001</v>
      </c>
      <c r="U272" s="3">
        <v>27.97</v>
      </c>
      <c r="V272" s="1">
        <v>15093</v>
      </c>
      <c r="W272" s="2">
        <v>7.3999999999999996E-2</v>
      </c>
      <c r="X272" s="3">
        <v>17.97</v>
      </c>
      <c r="Y272" s="1">
        <v>2021</v>
      </c>
      <c r="Z272" s="2">
        <v>2.0899999999999998E-2</v>
      </c>
      <c r="AA272" s="3">
        <v>8.51</v>
      </c>
      <c r="AB272" s="1">
        <v>17411</v>
      </c>
      <c r="AC272" s="2">
        <v>0.1022</v>
      </c>
      <c r="AD272" s="3">
        <v>15.01</v>
      </c>
      <c r="AE272" s="1">
        <v>3778</v>
      </c>
      <c r="AF272" s="2">
        <v>1.7899999999999999E-2</v>
      </c>
      <c r="AG272" s="3">
        <v>18.59</v>
      </c>
    </row>
    <row r="273" spans="1:33" x14ac:dyDescent="0.75">
      <c r="A273" t="s">
        <v>309</v>
      </c>
      <c r="B273" s="1">
        <v>2657</v>
      </c>
      <c r="C273" s="2">
        <v>0.37559999999999999</v>
      </c>
      <c r="D273" s="2">
        <v>0.62439999999999996</v>
      </c>
      <c r="E273" s="2">
        <v>0</v>
      </c>
      <c r="F273" s="1">
        <v>2638</v>
      </c>
      <c r="G273">
        <v>19</v>
      </c>
      <c r="H273">
        <v>801</v>
      </c>
      <c r="I273" s="1">
        <v>1856</v>
      </c>
      <c r="J273" s="2">
        <v>0.84189999999999998</v>
      </c>
      <c r="K273" s="2">
        <v>0</v>
      </c>
      <c r="L273" s="2">
        <v>0</v>
      </c>
      <c r="M273" s="2">
        <v>4.8599999999999997E-2</v>
      </c>
      <c r="N273" s="2">
        <v>0.1009</v>
      </c>
      <c r="O273" s="2">
        <v>8.6999999999999994E-3</v>
      </c>
      <c r="P273" s="2">
        <v>0.28149999999999997</v>
      </c>
      <c r="Q273" s="2">
        <v>8.6999999999999994E-3</v>
      </c>
      <c r="R273">
        <v>3.77</v>
      </c>
      <c r="S273" s="1">
        <v>21122</v>
      </c>
      <c r="T273" s="2">
        <v>5.8999999999999997E-2</v>
      </c>
      <c r="U273" s="3">
        <v>35.729999999999997</v>
      </c>
      <c r="V273" s="1">
        <v>4590</v>
      </c>
      <c r="W273" s="2">
        <v>2.7400000000000001E-2</v>
      </c>
      <c r="X273" s="3">
        <v>16.73</v>
      </c>
      <c r="Y273" s="1">
        <v>1466</v>
      </c>
      <c r="Z273" s="2">
        <v>1.6799999999999999E-2</v>
      </c>
      <c r="AA273" s="3">
        <v>8.7200000000000006</v>
      </c>
      <c r="AB273">
        <v>293</v>
      </c>
      <c r="AC273" s="2">
        <v>2.8E-3</v>
      </c>
      <c r="AD273" s="3">
        <v>10.59</v>
      </c>
      <c r="AE273" s="1">
        <v>1537</v>
      </c>
      <c r="AF273" s="2">
        <v>7.0000000000000001E-3</v>
      </c>
      <c r="AG273" s="3">
        <v>21.94</v>
      </c>
    </row>
    <row r="274" spans="1:33" x14ac:dyDescent="0.75">
      <c r="A274" t="s">
        <v>310</v>
      </c>
      <c r="B274" s="1">
        <v>2651</v>
      </c>
      <c r="C274" s="2">
        <v>0</v>
      </c>
      <c r="D274" s="2">
        <v>1</v>
      </c>
      <c r="E274" s="2">
        <v>0</v>
      </c>
      <c r="F274" s="1">
        <v>2632</v>
      </c>
      <c r="G274">
        <v>19</v>
      </c>
      <c r="H274">
        <v>231</v>
      </c>
      <c r="I274" s="1">
        <v>2420</v>
      </c>
      <c r="J274" s="2">
        <v>0.72650000000000003</v>
      </c>
      <c r="K274" s="2">
        <v>0</v>
      </c>
      <c r="L274" s="2">
        <v>0</v>
      </c>
      <c r="M274" s="2">
        <v>3.4299999999999997E-2</v>
      </c>
      <c r="N274" s="2">
        <v>0.18709999999999999</v>
      </c>
      <c r="O274" s="2">
        <v>5.21E-2</v>
      </c>
      <c r="P274" s="2">
        <v>0.11840000000000001</v>
      </c>
      <c r="Q274" s="2">
        <v>1.66E-2</v>
      </c>
      <c r="R274">
        <v>5.42</v>
      </c>
      <c r="S274" s="1">
        <v>42527</v>
      </c>
      <c r="T274" s="2">
        <v>8.6699999999999999E-2</v>
      </c>
      <c r="U274" s="3">
        <v>34.15</v>
      </c>
      <c r="V274" s="1">
        <v>8111</v>
      </c>
      <c r="W274" s="2">
        <v>3.0800000000000001E-2</v>
      </c>
      <c r="X274" s="3">
        <v>18.309999999999999</v>
      </c>
      <c r="Y274" s="1">
        <v>1422</v>
      </c>
      <c r="Z274" s="2">
        <v>1.15E-2</v>
      </c>
      <c r="AA274" s="3">
        <v>8.6300000000000008</v>
      </c>
      <c r="AB274">
        <v>0</v>
      </c>
      <c r="AE274" s="1">
        <v>1980</v>
      </c>
      <c r="AF274" s="2">
        <v>0.01</v>
      </c>
      <c r="AG274" s="3">
        <v>13.79</v>
      </c>
    </row>
    <row r="275" spans="1:33" x14ac:dyDescent="0.75">
      <c r="A275" t="s">
        <v>311</v>
      </c>
      <c r="B275" s="1">
        <v>2630</v>
      </c>
      <c r="C275" s="2">
        <v>0.48099999999999998</v>
      </c>
      <c r="D275" s="2">
        <v>0.51900000000000002</v>
      </c>
      <c r="E275" s="2">
        <v>0</v>
      </c>
      <c r="F275" s="1">
        <v>2607</v>
      </c>
      <c r="G275">
        <v>23</v>
      </c>
      <c r="H275">
        <v>314</v>
      </c>
      <c r="I275" s="1">
        <v>2316</v>
      </c>
      <c r="J275" s="2">
        <v>0.87029999999999996</v>
      </c>
      <c r="K275" s="2">
        <v>0</v>
      </c>
      <c r="L275" s="2">
        <v>0</v>
      </c>
      <c r="M275" s="2">
        <v>7.1999999999999998E-3</v>
      </c>
      <c r="N275" s="2">
        <v>0.1091</v>
      </c>
      <c r="O275" s="2">
        <v>1.3299999999999999E-2</v>
      </c>
      <c r="P275" s="2">
        <v>0.1875</v>
      </c>
      <c r="Q275" s="2">
        <v>2.6200000000000001E-2</v>
      </c>
      <c r="R275">
        <v>3.73</v>
      </c>
      <c r="S275" s="1">
        <v>43206</v>
      </c>
      <c r="T275" s="2">
        <v>0.13639999999999999</v>
      </c>
      <c r="U275" s="3">
        <v>32.31</v>
      </c>
      <c r="V275" s="1">
        <v>3863</v>
      </c>
      <c r="W275" s="2">
        <v>2.3300000000000001E-2</v>
      </c>
      <c r="X275" s="3">
        <v>16.91</v>
      </c>
      <c r="Y275" s="1">
        <v>1593</v>
      </c>
      <c r="Z275" s="2">
        <v>1.7500000000000002E-2</v>
      </c>
      <c r="AA275" s="3">
        <v>9.31</v>
      </c>
      <c r="AB275">
        <v>260</v>
      </c>
      <c r="AC275" s="2">
        <v>1.9E-3</v>
      </c>
      <c r="AD275" s="3">
        <v>13.8</v>
      </c>
      <c r="AE275" s="1">
        <v>1088</v>
      </c>
      <c r="AF275" s="2">
        <v>6.1999999999999998E-3</v>
      </c>
      <c r="AG275" s="3">
        <v>17.8</v>
      </c>
    </row>
    <row r="276" spans="1:33" x14ac:dyDescent="0.75">
      <c r="A276" t="s">
        <v>312</v>
      </c>
      <c r="B276" s="1">
        <v>2582</v>
      </c>
      <c r="C276" s="2">
        <v>0.46789999999999998</v>
      </c>
      <c r="D276" s="2">
        <v>0.53210000000000002</v>
      </c>
      <c r="E276" s="2">
        <v>0</v>
      </c>
      <c r="F276" s="1">
        <v>2528</v>
      </c>
      <c r="G276">
        <v>54</v>
      </c>
      <c r="H276">
        <v>876</v>
      </c>
      <c r="I276" s="1">
        <v>1706</v>
      </c>
      <c r="J276" s="2">
        <v>0.90429999999999999</v>
      </c>
      <c r="K276" s="2">
        <v>0</v>
      </c>
      <c r="L276" s="2">
        <v>0</v>
      </c>
      <c r="M276" s="2">
        <v>2.4799999999999999E-2</v>
      </c>
      <c r="N276" s="2">
        <v>6.8199999999999997E-2</v>
      </c>
      <c r="O276" s="2">
        <v>2.7000000000000001E-3</v>
      </c>
      <c r="P276" s="2">
        <v>0.28039999999999998</v>
      </c>
      <c r="Q276" s="2">
        <v>4.0000000000000002E-4</v>
      </c>
      <c r="R276">
        <v>2.86</v>
      </c>
      <c r="S276" s="1">
        <v>37223</v>
      </c>
      <c r="T276" s="2">
        <v>0.13600000000000001</v>
      </c>
      <c r="U276" s="3">
        <v>37.01</v>
      </c>
      <c r="V276" s="1">
        <v>5100</v>
      </c>
      <c r="W276" s="2">
        <v>4.6199999999999998E-2</v>
      </c>
      <c r="X276" s="3">
        <v>14.92</v>
      </c>
      <c r="Y276">
        <v>329</v>
      </c>
      <c r="Z276" s="2">
        <v>5.0000000000000001E-3</v>
      </c>
      <c r="AA276" s="3">
        <v>8.93</v>
      </c>
      <c r="AB276">
        <v>0</v>
      </c>
      <c r="AE276" s="1">
        <v>2758</v>
      </c>
      <c r="AF276" s="2">
        <v>2.64E-2</v>
      </c>
      <c r="AG276" s="3">
        <v>14.14</v>
      </c>
    </row>
    <row r="277" spans="1:33" x14ac:dyDescent="0.75">
      <c r="A277" t="s">
        <v>313</v>
      </c>
      <c r="B277" s="1">
        <v>2407</v>
      </c>
      <c r="C277" s="2">
        <v>0.74819999999999998</v>
      </c>
      <c r="D277" s="2">
        <v>0.25180000000000002</v>
      </c>
      <c r="E277" s="2">
        <v>0</v>
      </c>
      <c r="F277" s="1">
        <v>2389</v>
      </c>
      <c r="G277">
        <v>18</v>
      </c>
      <c r="H277">
        <v>489</v>
      </c>
      <c r="I277" s="1">
        <v>1918</v>
      </c>
      <c r="J277" s="2">
        <v>0.63729999999999998</v>
      </c>
      <c r="K277" s="2">
        <v>8.0000000000000004E-4</v>
      </c>
      <c r="L277" s="2">
        <v>3.4099999999999998E-2</v>
      </c>
      <c r="M277" s="2">
        <v>2.6599999999999999E-2</v>
      </c>
      <c r="N277" s="2">
        <v>0.22059999999999999</v>
      </c>
      <c r="O277" s="2">
        <v>8.0600000000000005E-2</v>
      </c>
      <c r="P277" s="2">
        <v>0.2671</v>
      </c>
      <c r="Q277" s="2">
        <v>2.8299999999999999E-2</v>
      </c>
      <c r="R277">
        <v>6.87</v>
      </c>
      <c r="S277" s="1">
        <v>42763</v>
      </c>
      <c r="T277" s="2">
        <v>9.6600000000000005E-2</v>
      </c>
      <c r="U277" s="3">
        <v>26.78</v>
      </c>
      <c r="V277" s="1">
        <v>1591</v>
      </c>
      <c r="W277" s="2">
        <v>5.3E-3</v>
      </c>
      <c r="X277" s="3">
        <v>18.21</v>
      </c>
      <c r="Y277" s="1">
        <v>4211</v>
      </c>
      <c r="Z277" s="2">
        <v>0.03</v>
      </c>
      <c r="AA277" s="3">
        <v>8.5</v>
      </c>
      <c r="AB277" s="1">
        <v>1394</v>
      </c>
      <c r="AC277" s="2">
        <v>7.4999999999999997E-3</v>
      </c>
      <c r="AD277" s="3">
        <v>11.27</v>
      </c>
      <c r="AE277">
        <v>605</v>
      </c>
      <c r="AF277" s="2">
        <v>1.1999999999999999E-3</v>
      </c>
      <c r="AG277" s="3">
        <v>29.74</v>
      </c>
    </row>
    <row r="278" spans="1:33" x14ac:dyDescent="0.75">
      <c r="A278" t="s">
        <v>314</v>
      </c>
      <c r="B278" s="1">
        <v>2350</v>
      </c>
      <c r="C278" s="2">
        <v>0.59699999999999998</v>
      </c>
      <c r="D278" s="2">
        <v>0.40300000000000002</v>
      </c>
      <c r="E278" s="2">
        <v>0</v>
      </c>
      <c r="F278" s="1">
        <v>2327</v>
      </c>
      <c r="G278">
        <v>23</v>
      </c>
      <c r="H278">
        <v>779</v>
      </c>
      <c r="I278" s="1">
        <v>1571</v>
      </c>
      <c r="J278" s="2">
        <v>0.73109999999999997</v>
      </c>
      <c r="K278" s="2">
        <v>0</v>
      </c>
      <c r="L278" s="2">
        <v>1.32E-2</v>
      </c>
      <c r="M278" s="2">
        <v>7.9100000000000004E-2</v>
      </c>
      <c r="N278" s="2">
        <v>0.16470000000000001</v>
      </c>
      <c r="O278" s="2">
        <v>1.1900000000000001E-2</v>
      </c>
      <c r="P278" s="2">
        <v>0.254</v>
      </c>
      <c r="Q278" s="2">
        <v>4.7699999999999999E-2</v>
      </c>
      <c r="R278">
        <v>4.92</v>
      </c>
      <c r="S278" s="1">
        <v>32431</v>
      </c>
      <c r="T278" s="2">
        <v>7.9200000000000007E-2</v>
      </c>
      <c r="U278" s="3">
        <v>35.450000000000003</v>
      </c>
      <c r="V278" s="1">
        <v>7581</v>
      </c>
      <c r="W278" s="2">
        <v>4.2599999999999999E-2</v>
      </c>
      <c r="X278" s="3">
        <v>15.4</v>
      </c>
      <c r="Y278">
        <v>0</v>
      </c>
      <c r="AB278">
        <v>0</v>
      </c>
      <c r="AE278" s="1">
        <v>3038</v>
      </c>
      <c r="AF278" s="2">
        <v>2.1700000000000001E-2</v>
      </c>
      <c r="AG278" s="3">
        <v>12.13</v>
      </c>
    </row>
    <row r="279" spans="1:33" x14ac:dyDescent="0.75">
      <c r="A279" t="s">
        <v>315</v>
      </c>
      <c r="B279" s="1">
        <v>2015</v>
      </c>
      <c r="C279" s="2">
        <v>0.59599999999999997</v>
      </c>
      <c r="D279" s="2">
        <v>0.40400000000000003</v>
      </c>
      <c r="E279" s="2">
        <v>0</v>
      </c>
      <c r="F279" s="1">
        <v>1997</v>
      </c>
      <c r="G279">
        <v>18</v>
      </c>
      <c r="H279">
        <v>556</v>
      </c>
      <c r="I279" s="1">
        <v>1459</v>
      </c>
      <c r="J279" s="2">
        <v>0.84019999999999995</v>
      </c>
      <c r="K279" s="2">
        <v>0</v>
      </c>
      <c r="L279" s="2">
        <v>0</v>
      </c>
      <c r="M279" s="2">
        <v>9.9000000000000008E-3</v>
      </c>
      <c r="N279" s="2">
        <v>0.1409</v>
      </c>
      <c r="O279" s="2">
        <v>8.8999999999999999E-3</v>
      </c>
      <c r="P279" s="2">
        <v>0.28139999999999998</v>
      </c>
      <c r="Q279" s="2">
        <v>4.6699999999999998E-2</v>
      </c>
      <c r="R279">
        <v>4.0599999999999996</v>
      </c>
      <c r="S279" s="1">
        <v>37818</v>
      </c>
      <c r="T279" s="2">
        <v>0.13300000000000001</v>
      </c>
      <c r="U279" s="3">
        <v>34.770000000000003</v>
      </c>
      <c r="V279" s="1">
        <v>9753</v>
      </c>
      <c r="W279" s="2">
        <v>5.91E-2</v>
      </c>
      <c r="X279" s="3">
        <v>20.170000000000002</v>
      </c>
      <c r="Y279">
        <v>721</v>
      </c>
      <c r="Z279" s="2">
        <v>9.7999999999999997E-3</v>
      </c>
      <c r="AA279" s="3">
        <v>9.0399999999999991</v>
      </c>
      <c r="AB279">
        <v>19</v>
      </c>
      <c r="AC279" s="2">
        <v>1E-4</v>
      </c>
      <c r="AD279" s="3">
        <v>19.64</v>
      </c>
      <c r="AE279">
        <v>947</v>
      </c>
      <c r="AF279" s="2">
        <v>8.0000000000000002E-3</v>
      </c>
      <c r="AG279" s="3">
        <v>14.49</v>
      </c>
    </row>
    <row r="280" spans="1:33" x14ac:dyDescent="0.75">
      <c r="A280" t="s">
        <v>316</v>
      </c>
      <c r="B280" s="1">
        <v>1944</v>
      </c>
      <c r="C280" s="2">
        <v>0.73660000000000003</v>
      </c>
      <c r="D280" s="2">
        <v>0.26340000000000002</v>
      </c>
      <c r="E280" s="2">
        <v>0</v>
      </c>
      <c r="F280" s="1">
        <v>1914</v>
      </c>
      <c r="G280">
        <v>30</v>
      </c>
      <c r="H280">
        <v>877</v>
      </c>
      <c r="I280" s="1">
        <v>1067</v>
      </c>
      <c r="J280" s="2">
        <v>0.68420000000000003</v>
      </c>
      <c r="K280" s="2">
        <v>8.2000000000000007E-3</v>
      </c>
      <c r="L280" s="2">
        <v>2.5999999999999999E-3</v>
      </c>
      <c r="M280" s="2">
        <v>4.2700000000000002E-2</v>
      </c>
      <c r="N280" s="2">
        <v>0.22789999999999999</v>
      </c>
      <c r="O280" s="2">
        <v>3.4500000000000003E-2</v>
      </c>
      <c r="P280" s="2">
        <v>0.5242</v>
      </c>
      <c r="Q280" s="2">
        <v>6.0199999999999997E-2</v>
      </c>
      <c r="R280">
        <v>3.95</v>
      </c>
      <c r="S280" s="1">
        <v>23752</v>
      </c>
      <c r="T280" s="2">
        <v>7.9899999999999999E-2</v>
      </c>
      <c r="U280" s="3">
        <v>38.72</v>
      </c>
      <c r="V280" s="1">
        <v>4082</v>
      </c>
      <c r="W280" s="2">
        <v>2.64E-2</v>
      </c>
      <c r="X280" s="3">
        <v>20.16</v>
      </c>
      <c r="Y280" s="1">
        <v>1628</v>
      </c>
      <c r="Z280" s="2">
        <v>2.2700000000000001E-2</v>
      </c>
      <c r="AA280" s="3">
        <v>9.35</v>
      </c>
      <c r="AB280" s="1">
        <v>1566</v>
      </c>
      <c r="AC280" s="2">
        <v>1.38E-2</v>
      </c>
      <c r="AD280" s="3">
        <v>14.79</v>
      </c>
      <c r="AE280" s="1">
        <v>2138</v>
      </c>
      <c r="AF280" s="2">
        <v>1.34E-2</v>
      </c>
      <c r="AG280" s="3">
        <v>20.75</v>
      </c>
    </row>
    <row r="281" spans="1:33" x14ac:dyDescent="0.75">
      <c r="A281" t="s">
        <v>317</v>
      </c>
      <c r="B281" s="1">
        <v>1883</v>
      </c>
      <c r="C281" s="2">
        <v>1</v>
      </c>
      <c r="D281" s="2">
        <v>0</v>
      </c>
      <c r="E281" s="2">
        <v>0</v>
      </c>
      <c r="F281" s="1">
        <v>1865</v>
      </c>
      <c r="G281">
        <v>18</v>
      </c>
      <c r="H281">
        <v>591</v>
      </c>
      <c r="I281" s="1">
        <v>1292</v>
      </c>
      <c r="J281" s="2">
        <v>0.6532</v>
      </c>
      <c r="K281" s="2">
        <v>3.0300000000000001E-2</v>
      </c>
      <c r="L281" s="2">
        <v>1.01E-2</v>
      </c>
      <c r="M281" s="2">
        <v>4.99E-2</v>
      </c>
      <c r="N281" s="2">
        <v>0.17150000000000001</v>
      </c>
      <c r="O281" s="2">
        <v>8.5000000000000006E-2</v>
      </c>
      <c r="P281" s="2">
        <v>0.41849999999999998</v>
      </c>
      <c r="Q281" s="2">
        <v>2.7000000000000001E-3</v>
      </c>
      <c r="R281">
        <v>6</v>
      </c>
      <c r="S281" s="1">
        <v>20848</v>
      </c>
      <c r="T281" s="2">
        <v>6.3100000000000003E-2</v>
      </c>
      <c r="U281" s="3">
        <v>29.22</v>
      </c>
      <c r="V281" s="1">
        <v>12788</v>
      </c>
      <c r="W281" s="2">
        <v>6.2E-2</v>
      </c>
      <c r="X281" s="3">
        <v>18.25</v>
      </c>
      <c r="Y281" s="1">
        <v>3100</v>
      </c>
      <c r="Z281" s="2">
        <v>3.2800000000000003E-2</v>
      </c>
      <c r="AA281" s="3">
        <v>8.36</v>
      </c>
      <c r="AB281" s="1">
        <v>4140</v>
      </c>
      <c r="AC281" s="2">
        <v>2.5100000000000001E-2</v>
      </c>
      <c r="AD281" s="3">
        <v>14.58</v>
      </c>
      <c r="AE281">
        <v>907</v>
      </c>
      <c r="AF281" s="2">
        <v>4.0000000000000001E-3</v>
      </c>
      <c r="AG281" s="3">
        <v>19.97</v>
      </c>
    </row>
    <row r="282" spans="1:33" x14ac:dyDescent="0.75">
      <c r="A282" t="s">
        <v>318</v>
      </c>
      <c r="B282" s="1">
        <v>1878</v>
      </c>
      <c r="C282" s="2">
        <v>0.58840000000000003</v>
      </c>
      <c r="D282" s="2">
        <v>0.41160000000000002</v>
      </c>
      <c r="E282" s="2">
        <v>0</v>
      </c>
      <c r="F282" s="1">
        <v>1850</v>
      </c>
      <c r="G282">
        <v>28</v>
      </c>
      <c r="H282">
        <v>820</v>
      </c>
      <c r="I282" s="1">
        <v>1058</v>
      </c>
      <c r="J282" s="2">
        <v>0.68740000000000001</v>
      </c>
      <c r="K282" s="2">
        <v>1.01E-2</v>
      </c>
      <c r="L282" s="2">
        <v>3.3500000000000002E-2</v>
      </c>
      <c r="M282" s="2">
        <v>2.5000000000000001E-2</v>
      </c>
      <c r="N282" s="2">
        <v>0.2082</v>
      </c>
      <c r="O282" s="2">
        <v>3.5700000000000003E-2</v>
      </c>
      <c r="P282" s="2">
        <v>0.45150000000000001</v>
      </c>
      <c r="Q282" s="2">
        <v>3.4599999999999999E-2</v>
      </c>
      <c r="R282">
        <v>3.02</v>
      </c>
      <c r="S282" s="1">
        <v>12699</v>
      </c>
      <c r="T282" s="2">
        <v>6.5299999999999997E-2</v>
      </c>
      <c r="U282" s="3">
        <v>34.31</v>
      </c>
      <c r="V282" s="1">
        <v>2265</v>
      </c>
      <c r="W282" s="2">
        <v>2.06E-2</v>
      </c>
      <c r="X282" s="3">
        <v>19.399999999999999</v>
      </c>
      <c r="Y282" s="1">
        <v>1955</v>
      </c>
      <c r="Z282" s="2">
        <v>3.5000000000000003E-2</v>
      </c>
      <c r="AA282" s="3">
        <v>9.85</v>
      </c>
      <c r="AB282" s="1">
        <v>1943</v>
      </c>
      <c r="AC282" s="2">
        <v>1.21E-2</v>
      </c>
      <c r="AD282" s="3">
        <v>28.25</v>
      </c>
      <c r="AE282" s="1">
        <v>7253</v>
      </c>
      <c r="AF282" s="2">
        <v>7.8399999999999997E-2</v>
      </c>
      <c r="AG282" s="3">
        <v>16.309999999999999</v>
      </c>
    </row>
    <row r="283" spans="1:33" x14ac:dyDescent="0.75">
      <c r="A283" t="s">
        <v>319</v>
      </c>
      <c r="B283" s="1">
        <v>1767</v>
      </c>
      <c r="C283" s="2">
        <v>0.3407</v>
      </c>
      <c r="D283" s="2">
        <v>0.6593</v>
      </c>
      <c r="E283" s="2">
        <v>0</v>
      </c>
      <c r="F283" s="1">
        <v>1753</v>
      </c>
      <c r="G283">
        <v>14</v>
      </c>
      <c r="H283">
        <v>378</v>
      </c>
      <c r="I283" s="1">
        <v>1389</v>
      </c>
      <c r="J283" s="2">
        <v>0.79679999999999995</v>
      </c>
      <c r="K283" s="2">
        <v>5.9999999999999995E-4</v>
      </c>
      <c r="L283" s="2">
        <v>0</v>
      </c>
      <c r="M283" s="2">
        <v>6.0600000000000001E-2</v>
      </c>
      <c r="N283" s="2">
        <v>0.1409</v>
      </c>
      <c r="O283" s="2">
        <v>1.1000000000000001E-3</v>
      </c>
      <c r="P283" s="2">
        <v>0.22639999999999999</v>
      </c>
      <c r="Q283" s="2">
        <v>1.1000000000000001E-3</v>
      </c>
      <c r="R283">
        <v>4.07</v>
      </c>
      <c r="S283" s="1">
        <v>20545</v>
      </c>
      <c r="T283" s="2">
        <v>7.5899999999999995E-2</v>
      </c>
      <c r="U283" s="3">
        <v>37.67</v>
      </c>
      <c r="V283" s="1">
        <v>5358</v>
      </c>
      <c r="W283" s="2">
        <v>3.6900000000000002E-2</v>
      </c>
      <c r="X283" s="3">
        <v>20.2</v>
      </c>
      <c r="Y283" s="1">
        <v>1174</v>
      </c>
      <c r="Z283" s="2">
        <v>1.7399999999999999E-2</v>
      </c>
      <c r="AA283" s="3">
        <v>9.3800000000000008</v>
      </c>
      <c r="AB283">
        <v>0</v>
      </c>
      <c r="AE283" s="1">
        <v>2973</v>
      </c>
      <c r="AF283" s="2">
        <v>2.7400000000000001E-2</v>
      </c>
      <c r="AG283" s="3">
        <v>15.1</v>
      </c>
    </row>
    <row r="284" spans="1:33" x14ac:dyDescent="0.75">
      <c r="A284" t="s">
        <v>320</v>
      </c>
      <c r="B284" s="1">
        <v>1693</v>
      </c>
      <c r="C284" s="2">
        <v>0.65859999999999996</v>
      </c>
      <c r="D284" s="2">
        <v>0.34139999999999998</v>
      </c>
      <c r="E284" s="2">
        <v>0</v>
      </c>
      <c r="F284" s="1">
        <v>1678</v>
      </c>
      <c r="G284">
        <v>15</v>
      </c>
      <c r="H284">
        <v>516</v>
      </c>
      <c r="I284" s="1">
        <v>1177</v>
      </c>
      <c r="J284" s="2">
        <v>0.74070000000000003</v>
      </c>
      <c r="K284" s="2">
        <v>5.9999999999999995E-4</v>
      </c>
      <c r="L284" s="2">
        <v>7.7000000000000002E-3</v>
      </c>
      <c r="M284" s="2">
        <v>2.3E-2</v>
      </c>
      <c r="N284" s="2">
        <v>0.1731</v>
      </c>
      <c r="O284" s="2">
        <v>5.4899999999999997E-2</v>
      </c>
      <c r="P284" s="2">
        <v>0.25580000000000003</v>
      </c>
      <c r="Q284" s="2">
        <v>5.1400000000000001E-2</v>
      </c>
      <c r="R284">
        <v>3.95</v>
      </c>
      <c r="S284" s="1">
        <v>25236</v>
      </c>
      <c r="T284" s="2">
        <v>9.1200000000000003E-2</v>
      </c>
      <c r="U284" s="3">
        <v>41.36</v>
      </c>
      <c r="V284" s="1">
        <v>4156</v>
      </c>
      <c r="W284" s="2">
        <v>3.3000000000000002E-2</v>
      </c>
      <c r="X284" s="3">
        <v>18.8</v>
      </c>
      <c r="Y284" s="1">
        <v>1831</v>
      </c>
      <c r="Z284" s="2">
        <v>3.0499999999999999E-2</v>
      </c>
      <c r="AA284" s="3">
        <v>8.98</v>
      </c>
      <c r="AB284" s="1">
        <v>1248</v>
      </c>
      <c r="AC284" s="2">
        <v>1.6899999999999998E-2</v>
      </c>
      <c r="AD284" s="3">
        <v>11.06</v>
      </c>
      <c r="AE284">
        <v>822</v>
      </c>
      <c r="AF284" s="2">
        <v>5.4000000000000003E-3</v>
      </c>
      <c r="AG284" s="3">
        <v>22.64</v>
      </c>
    </row>
    <row r="285" spans="1:33" x14ac:dyDescent="0.75">
      <c r="A285" t="s">
        <v>321</v>
      </c>
      <c r="B285" s="1">
        <v>1413</v>
      </c>
      <c r="C285" s="2">
        <v>0.51800000000000002</v>
      </c>
      <c r="D285" s="2">
        <v>0.48199999999999998</v>
      </c>
      <c r="E285" s="2">
        <v>0</v>
      </c>
      <c r="F285" s="1">
        <v>1404</v>
      </c>
      <c r="G285">
        <v>9</v>
      </c>
      <c r="H285">
        <v>423</v>
      </c>
      <c r="I285">
        <v>990</v>
      </c>
      <c r="J285" s="2">
        <v>0.69989999999999997</v>
      </c>
      <c r="K285" s="2">
        <v>0</v>
      </c>
      <c r="L285" s="2">
        <v>1.4E-3</v>
      </c>
      <c r="M285" s="2">
        <v>8.5000000000000006E-3</v>
      </c>
      <c r="N285" s="2">
        <v>0.2293</v>
      </c>
      <c r="O285" s="2">
        <v>6.0900000000000003E-2</v>
      </c>
      <c r="P285" s="2">
        <v>0.3921</v>
      </c>
      <c r="Q285" s="2">
        <v>1.84E-2</v>
      </c>
      <c r="R285">
        <v>4.68</v>
      </c>
      <c r="S285" s="1">
        <v>18505</v>
      </c>
      <c r="T285" s="2">
        <v>6.9800000000000001E-2</v>
      </c>
      <c r="U285" s="3">
        <v>40.049999999999997</v>
      </c>
      <c r="V285" s="1">
        <v>2997</v>
      </c>
      <c r="W285" s="2">
        <v>2.0799999999999999E-2</v>
      </c>
      <c r="X285" s="3">
        <v>21.82</v>
      </c>
      <c r="Y285" s="1">
        <v>1818</v>
      </c>
      <c r="Z285" s="2">
        <v>3.15E-2</v>
      </c>
      <c r="AA285" s="3">
        <v>8.74</v>
      </c>
      <c r="AB285">
        <v>204</v>
      </c>
      <c r="AC285" s="2">
        <v>2.2000000000000001E-3</v>
      </c>
      <c r="AD285" s="3">
        <v>14.26</v>
      </c>
      <c r="AE285" s="1">
        <v>1778</v>
      </c>
      <c r="AF285" s="2">
        <v>2.4E-2</v>
      </c>
      <c r="AG285" s="3">
        <v>11.21</v>
      </c>
    </row>
    <row r="286" spans="1:33" x14ac:dyDescent="0.75">
      <c r="A286" t="s">
        <v>322</v>
      </c>
      <c r="B286" s="1">
        <v>1346</v>
      </c>
      <c r="C286" s="2">
        <v>1</v>
      </c>
      <c r="D286" s="2">
        <v>0</v>
      </c>
      <c r="E286" s="2">
        <v>0</v>
      </c>
      <c r="F286" s="1">
        <v>1341</v>
      </c>
      <c r="G286">
        <v>5</v>
      </c>
      <c r="H286">
        <v>557</v>
      </c>
      <c r="I286">
        <v>789</v>
      </c>
      <c r="J286" s="2">
        <v>0.7853</v>
      </c>
      <c r="K286" s="2">
        <v>0</v>
      </c>
      <c r="L286" s="2">
        <v>1.5E-3</v>
      </c>
      <c r="M286" s="2">
        <v>8.2000000000000007E-3</v>
      </c>
      <c r="N286" s="2">
        <v>0.17899999999999999</v>
      </c>
      <c r="O286" s="2">
        <v>2.5999999999999999E-2</v>
      </c>
      <c r="P286" s="2">
        <v>2.75E-2</v>
      </c>
      <c r="Q286" s="2">
        <v>0.10100000000000001</v>
      </c>
      <c r="R286">
        <v>3.87</v>
      </c>
      <c r="S286" s="1">
        <v>22491</v>
      </c>
      <c r="T286" s="2">
        <v>0.1094</v>
      </c>
      <c r="U286" s="3">
        <v>39.49</v>
      </c>
      <c r="V286" s="1">
        <v>4072</v>
      </c>
      <c r="W286" s="2">
        <v>3.9899999999999998E-2</v>
      </c>
      <c r="X286" s="3">
        <v>19.600000000000001</v>
      </c>
      <c r="Y286" s="1">
        <v>1571</v>
      </c>
      <c r="Z286" s="2">
        <v>3.27E-2</v>
      </c>
      <c r="AA286" s="3">
        <v>9.23</v>
      </c>
      <c r="AB286">
        <v>934</v>
      </c>
      <c r="AC286" s="2">
        <v>1.46E-2</v>
      </c>
      <c r="AD286" s="3">
        <v>12.29</v>
      </c>
      <c r="AE286">
        <v>741</v>
      </c>
      <c r="AF286" s="2">
        <v>1.55E-2</v>
      </c>
      <c r="AG286" s="3">
        <v>9.19</v>
      </c>
    </row>
    <row r="287" spans="1:33" x14ac:dyDescent="0.75">
      <c r="A287" t="s">
        <v>323</v>
      </c>
      <c r="B287">
        <v>398</v>
      </c>
      <c r="C287" s="2">
        <v>0.67090000000000005</v>
      </c>
      <c r="D287" s="2">
        <v>0.3291</v>
      </c>
      <c r="E287" s="2">
        <v>0</v>
      </c>
      <c r="F287">
        <v>397</v>
      </c>
      <c r="G287">
        <v>1</v>
      </c>
      <c r="H287">
        <v>124</v>
      </c>
      <c r="I287">
        <v>274</v>
      </c>
      <c r="J287" s="2">
        <v>0.8266</v>
      </c>
      <c r="K287" s="2">
        <v>0</v>
      </c>
      <c r="L287" s="2">
        <v>0</v>
      </c>
      <c r="M287" s="2">
        <v>5.28E-2</v>
      </c>
      <c r="N287" s="2">
        <v>0.11559999999999999</v>
      </c>
      <c r="O287" s="2">
        <v>5.0000000000000001E-3</v>
      </c>
      <c r="P287" s="2">
        <v>0.36930000000000002</v>
      </c>
      <c r="Q287" s="2">
        <v>4.02E-2</v>
      </c>
      <c r="R287">
        <v>2.73</v>
      </c>
      <c r="S287" s="1">
        <v>4004</v>
      </c>
      <c r="T287" s="2">
        <v>0.1057</v>
      </c>
      <c r="U287" s="3">
        <v>34.94</v>
      </c>
      <c r="V287" s="1">
        <v>1352</v>
      </c>
      <c r="W287" s="2">
        <v>6.3100000000000003E-2</v>
      </c>
      <c r="X287" s="3">
        <v>19.760000000000002</v>
      </c>
      <c r="Y287">
        <v>133</v>
      </c>
      <c r="Z287" s="2">
        <v>1.0699999999999999E-2</v>
      </c>
      <c r="AA287" s="3">
        <v>11.46</v>
      </c>
      <c r="AB287">
        <v>120</v>
      </c>
      <c r="AC287" s="2">
        <v>4.3E-3</v>
      </c>
      <c r="AD287" s="3">
        <v>25.82</v>
      </c>
      <c r="AE287">
        <v>710</v>
      </c>
      <c r="AF287" s="2">
        <v>3.5499999999999997E-2</v>
      </c>
      <c r="AG287" s="3">
        <v>18.440000000000001</v>
      </c>
    </row>
    <row r="288" spans="1:33" x14ac:dyDescent="0.75">
      <c r="A288" t="s">
        <v>324</v>
      </c>
      <c r="B288">
        <v>154</v>
      </c>
      <c r="C288" s="2">
        <v>0.68179999999999996</v>
      </c>
      <c r="D288" s="2">
        <v>0.31819999999999998</v>
      </c>
      <c r="E288" s="2">
        <v>0</v>
      </c>
      <c r="F288">
        <v>154</v>
      </c>
      <c r="G288">
        <v>0</v>
      </c>
      <c r="H288">
        <v>49</v>
      </c>
      <c r="I288">
        <v>105</v>
      </c>
      <c r="J288" s="2">
        <v>0.91559999999999997</v>
      </c>
      <c r="K288" s="2">
        <v>0</v>
      </c>
      <c r="L288" s="2">
        <v>0</v>
      </c>
      <c r="M288" s="2">
        <v>7.1400000000000005E-2</v>
      </c>
      <c r="N288" s="2">
        <v>1.2999999999999999E-2</v>
      </c>
      <c r="O288" s="2">
        <v>0</v>
      </c>
      <c r="P288" s="2">
        <v>0.40910000000000002</v>
      </c>
      <c r="Q288" s="2">
        <v>9.74E-2</v>
      </c>
      <c r="R288">
        <v>2.67</v>
      </c>
      <c r="S288">
        <v>582</v>
      </c>
      <c r="T288" s="2">
        <v>4.0899999999999999E-2</v>
      </c>
      <c r="U288" s="3">
        <v>34.61</v>
      </c>
      <c r="V288">
        <v>33</v>
      </c>
      <c r="W288" s="2">
        <v>2.5000000000000001E-3</v>
      </c>
      <c r="X288" s="3">
        <v>31.76</v>
      </c>
      <c r="Y288">
        <v>80</v>
      </c>
      <c r="Z288" s="2">
        <v>2.1000000000000001E-2</v>
      </c>
      <c r="AA288" s="3">
        <v>9.27</v>
      </c>
      <c r="AB288">
        <v>144</v>
      </c>
      <c r="AC288" s="2">
        <v>1.0800000000000001E-2</v>
      </c>
      <c r="AD288" s="3">
        <v>32.58</v>
      </c>
      <c r="AE288">
        <v>221</v>
      </c>
      <c r="AF288" s="2">
        <v>1.41E-2</v>
      </c>
      <c r="AG288" s="3">
        <v>38.24</v>
      </c>
    </row>
    <row r="289" spans="1:33" x14ac:dyDescent="0.75">
      <c r="A289" t="s">
        <v>325</v>
      </c>
      <c r="B289">
        <v>138</v>
      </c>
      <c r="C289" s="2">
        <v>0.84060000000000001</v>
      </c>
      <c r="D289" s="2">
        <v>0.15939999999999999</v>
      </c>
      <c r="E289" s="2">
        <v>0</v>
      </c>
      <c r="F289">
        <v>136</v>
      </c>
      <c r="G289">
        <v>2</v>
      </c>
      <c r="H289">
        <v>54</v>
      </c>
      <c r="I289">
        <v>84</v>
      </c>
      <c r="J289" s="2">
        <v>0.82609999999999995</v>
      </c>
      <c r="K289" s="2">
        <v>0</v>
      </c>
      <c r="L289" s="2">
        <v>0</v>
      </c>
      <c r="M289" s="2">
        <v>0</v>
      </c>
      <c r="N289" s="2">
        <v>0.15939999999999999</v>
      </c>
      <c r="O289" s="2">
        <v>1.4500000000000001E-2</v>
      </c>
      <c r="P289" s="2">
        <v>0.2681</v>
      </c>
      <c r="Q289" s="2">
        <v>7.2499999999999995E-2</v>
      </c>
      <c r="R289">
        <v>2.48</v>
      </c>
      <c r="S289" s="1">
        <v>3341</v>
      </c>
      <c r="T289" s="2">
        <v>0.27429999999999999</v>
      </c>
      <c r="U289" s="3">
        <v>35.56</v>
      </c>
      <c r="V289" s="1">
        <v>1117</v>
      </c>
      <c r="W289" s="2">
        <v>0.1613</v>
      </c>
      <c r="X289" s="3">
        <v>20.23</v>
      </c>
      <c r="Y289">
        <v>464</v>
      </c>
      <c r="Z289" s="2">
        <v>0.14410000000000001</v>
      </c>
      <c r="AA289" s="3">
        <v>9.4</v>
      </c>
      <c r="AB289">
        <v>0</v>
      </c>
      <c r="AE289">
        <v>299</v>
      </c>
      <c r="AF289" s="2">
        <v>5.1999999999999998E-2</v>
      </c>
      <c r="AG289" s="3">
        <v>16.760000000000002</v>
      </c>
    </row>
    <row r="290" spans="1:33" x14ac:dyDescent="0.75">
      <c r="A290" t="s">
        <v>326</v>
      </c>
      <c r="B290">
        <v>66</v>
      </c>
      <c r="C290" s="2">
        <v>0.72729999999999995</v>
      </c>
      <c r="D290" s="2">
        <v>0.2727</v>
      </c>
      <c r="E290" s="2">
        <v>0</v>
      </c>
      <c r="F290">
        <v>65</v>
      </c>
      <c r="G290">
        <v>1</v>
      </c>
      <c r="H290">
        <v>26</v>
      </c>
      <c r="I290">
        <v>40</v>
      </c>
      <c r="J290" s="2">
        <v>0.80300000000000005</v>
      </c>
      <c r="K290" s="2">
        <v>0</v>
      </c>
      <c r="L290" s="2">
        <v>0</v>
      </c>
      <c r="M290" s="2">
        <v>0</v>
      </c>
      <c r="N290" s="2">
        <v>0.19700000000000001</v>
      </c>
      <c r="O290" s="2">
        <v>0</v>
      </c>
      <c r="P290" s="2">
        <v>0</v>
      </c>
      <c r="Q290" s="2">
        <v>6.0600000000000001E-2</v>
      </c>
      <c r="R290">
        <v>3.05</v>
      </c>
      <c r="S290" s="1">
        <v>1268</v>
      </c>
      <c r="T290" s="2">
        <v>0.17399999999999999</v>
      </c>
      <c r="U290" s="3">
        <v>36.19</v>
      </c>
      <c r="V290">
        <v>215</v>
      </c>
      <c r="W290" s="2">
        <v>5.2200000000000003E-2</v>
      </c>
      <c r="X290" s="3">
        <v>20.46</v>
      </c>
      <c r="Y290">
        <v>208</v>
      </c>
      <c r="Z290" s="2">
        <v>0.1173</v>
      </c>
      <c r="AA290" s="3">
        <v>8.81</v>
      </c>
      <c r="AB290">
        <v>0</v>
      </c>
      <c r="AE290">
        <v>0</v>
      </c>
    </row>
    <row r="291" spans="1:33" x14ac:dyDescent="0.75">
      <c r="A291" t="s">
        <v>327</v>
      </c>
      <c r="B291">
        <v>38</v>
      </c>
      <c r="C291" s="2">
        <v>1</v>
      </c>
      <c r="D291" s="2">
        <v>0</v>
      </c>
      <c r="E291" s="2">
        <v>0</v>
      </c>
      <c r="F291">
        <v>38</v>
      </c>
      <c r="G291">
        <v>0</v>
      </c>
      <c r="H291">
        <v>19</v>
      </c>
      <c r="I291">
        <v>19</v>
      </c>
      <c r="J291" s="2">
        <v>0.65790000000000004</v>
      </c>
      <c r="K291" s="2">
        <v>2.63E-2</v>
      </c>
      <c r="L291" s="2">
        <v>0</v>
      </c>
      <c r="M291" s="2">
        <v>2.63E-2</v>
      </c>
      <c r="N291" s="2">
        <v>0.21049999999999999</v>
      </c>
      <c r="O291" s="2">
        <v>7.8899999999999998E-2</v>
      </c>
      <c r="P291" s="2">
        <v>0.36840000000000001</v>
      </c>
      <c r="Q291" s="2">
        <v>0</v>
      </c>
      <c r="R291">
        <v>2.67</v>
      </c>
      <c r="S291">
        <v>150</v>
      </c>
      <c r="T291" s="2">
        <v>4.2799999999999998E-2</v>
      </c>
      <c r="U291" s="3">
        <v>34.58</v>
      </c>
      <c r="V291">
        <v>0</v>
      </c>
      <c r="Y291">
        <v>0</v>
      </c>
      <c r="AB291">
        <v>0</v>
      </c>
      <c r="AE291">
        <v>0</v>
      </c>
    </row>
    <row r="292" spans="1:33" x14ac:dyDescent="0.75">
      <c r="A292" t="s">
        <v>328</v>
      </c>
      <c r="B292">
        <v>2</v>
      </c>
      <c r="C292" s="2">
        <v>1</v>
      </c>
      <c r="D292" s="2">
        <v>0</v>
      </c>
      <c r="E292" s="2">
        <v>0</v>
      </c>
      <c r="F292">
        <v>2</v>
      </c>
      <c r="G292">
        <v>0</v>
      </c>
      <c r="H292">
        <v>0</v>
      </c>
      <c r="I292">
        <v>2</v>
      </c>
      <c r="J292" s="2">
        <v>0</v>
      </c>
      <c r="K292" s="2">
        <v>0</v>
      </c>
      <c r="L292" s="2">
        <v>0</v>
      </c>
      <c r="M292" s="2">
        <v>1</v>
      </c>
      <c r="N292" s="2">
        <v>0</v>
      </c>
      <c r="O292" s="2">
        <v>0</v>
      </c>
      <c r="P292" s="2">
        <v>1</v>
      </c>
      <c r="Q292" s="2">
        <v>0</v>
      </c>
      <c r="R292">
        <v>0.08</v>
      </c>
      <c r="S292">
        <v>0</v>
      </c>
      <c r="V292">
        <v>0</v>
      </c>
      <c r="Y292">
        <v>0</v>
      </c>
      <c r="AB292">
        <v>0</v>
      </c>
      <c r="AE292">
        <v>0</v>
      </c>
    </row>
    <row r="293" spans="1:33" x14ac:dyDescent="0.75">
      <c r="A293" t="s">
        <v>329</v>
      </c>
      <c r="B293">
        <v>2</v>
      </c>
      <c r="C293" s="2">
        <v>1</v>
      </c>
      <c r="D293" s="2">
        <v>0</v>
      </c>
      <c r="E293" s="2">
        <v>0</v>
      </c>
      <c r="F293">
        <v>2</v>
      </c>
      <c r="G293">
        <v>0</v>
      </c>
      <c r="H293">
        <v>0</v>
      </c>
      <c r="I293">
        <v>2</v>
      </c>
      <c r="J293" s="2">
        <v>0</v>
      </c>
      <c r="K293" s="2">
        <v>0</v>
      </c>
      <c r="L293" s="2">
        <v>0</v>
      </c>
      <c r="M293" s="2">
        <v>0.5</v>
      </c>
      <c r="N293" s="2">
        <v>0.5</v>
      </c>
      <c r="O293" s="2">
        <v>0</v>
      </c>
      <c r="P293" s="2">
        <v>1</v>
      </c>
      <c r="Q293" s="2">
        <v>0</v>
      </c>
      <c r="R293">
        <v>0.16</v>
      </c>
      <c r="S293">
        <v>0</v>
      </c>
      <c r="V293">
        <v>0</v>
      </c>
      <c r="Y293">
        <v>0</v>
      </c>
      <c r="AB293">
        <v>0</v>
      </c>
      <c r="AE293">
        <v>0</v>
      </c>
    </row>
    <row r="294" spans="1:33" x14ac:dyDescent="0.75">
      <c r="A294" t="s">
        <v>330</v>
      </c>
      <c r="B294">
        <v>1</v>
      </c>
      <c r="C294" s="2">
        <v>1</v>
      </c>
      <c r="D294" s="2">
        <v>0</v>
      </c>
      <c r="E294" s="2">
        <v>0</v>
      </c>
      <c r="F294">
        <v>1</v>
      </c>
      <c r="G294">
        <v>0</v>
      </c>
      <c r="H294">
        <v>0</v>
      </c>
      <c r="I294">
        <v>1</v>
      </c>
      <c r="J294" s="2">
        <v>0</v>
      </c>
      <c r="K294" s="2">
        <v>0</v>
      </c>
      <c r="L294" s="2">
        <v>0</v>
      </c>
      <c r="M294" s="2">
        <v>0</v>
      </c>
      <c r="N294" s="2">
        <v>1</v>
      </c>
      <c r="O294" s="2">
        <v>0</v>
      </c>
      <c r="P294" s="2">
        <v>1</v>
      </c>
      <c r="Q294" s="2">
        <v>0</v>
      </c>
      <c r="R294">
        <v>0.71</v>
      </c>
      <c r="S294">
        <v>0</v>
      </c>
      <c r="V294">
        <v>0</v>
      </c>
      <c r="Y294">
        <v>0</v>
      </c>
      <c r="AB294">
        <v>0</v>
      </c>
      <c r="AE294">
        <v>0</v>
      </c>
    </row>
    <row r="295" spans="1:33" x14ac:dyDescent="0.75">
      <c r="A295" t="s">
        <v>14</v>
      </c>
      <c r="B295" s="1">
        <v>19700592</v>
      </c>
      <c r="C295" s="2">
        <v>0.57679999999999998</v>
      </c>
      <c r="D295" s="2">
        <v>0.40010000000000001</v>
      </c>
      <c r="E295" s="2">
        <v>2.3099999999999999E-2</v>
      </c>
      <c r="F295" s="1">
        <v>18504803</v>
      </c>
      <c r="G295" s="1">
        <v>1195789</v>
      </c>
      <c r="H295" s="1">
        <v>6772994</v>
      </c>
      <c r="I295" s="1">
        <v>12927598</v>
      </c>
      <c r="J295" s="2">
        <v>0.6754</v>
      </c>
      <c r="K295" s="2">
        <v>2.46E-2</v>
      </c>
      <c r="L295" s="2">
        <v>2.2599999999999999E-2</v>
      </c>
      <c r="M295" s="2">
        <v>5.45E-2</v>
      </c>
      <c r="N295" s="2">
        <v>0.17449999999999999</v>
      </c>
      <c r="O295" s="2">
        <v>4.8500000000000001E-2</v>
      </c>
      <c r="P295" s="2">
        <v>0.43319999999999997</v>
      </c>
      <c r="Q295" s="2">
        <v>3.1199999999999999E-2</v>
      </c>
      <c r="R295">
        <v>4.26</v>
      </c>
      <c r="S295" s="1">
        <v>296560687</v>
      </c>
      <c r="T295" s="2">
        <v>9.8199999999999996E-2</v>
      </c>
      <c r="U295" s="3">
        <v>36.01</v>
      </c>
      <c r="V295" s="1">
        <v>89230514</v>
      </c>
      <c r="W295" s="2">
        <v>5.7599999999999998E-2</v>
      </c>
      <c r="X295" s="3">
        <v>18.46</v>
      </c>
      <c r="Y295" s="1">
        <v>40452478</v>
      </c>
      <c r="Z295" s="2">
        <v>5.3600000000000002E-2</v>
      </c>
      <c r="AA295" s="3">
        <v>8.99</v>
      </c>
      <c r="AB295" s="1">
        <v>114432905</v>
      </c>
      <c r="AC295" s="2">
        <v>9.9500000000000005E-2</v>
      </c>
      <c r="AD295" s="3">
        <v>13.7</v>
      </c>
      <c r="AE295" s="1">
        <v>101452269</v>
      </c>
      <c r="AF295" s="2">
        <v>0.1018</v>
      </c>
      <c r="AG295" s="3">
        <v>11.88</v>
      </c>
    </row>
  </sheetData>
  <mergeCells count="5">
    <mergeCell ref="C1:E1"/>
    <mergeCell ref="F1:G1"/>
    <mergeCell ref="H1:I1"/>
    <mergeCell ref="J1:O1"/>
    <mergeCell ref="S1:A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Opportunity Ranking</vt:lpstr>
      <vt:lpstr>Benchmark Comparison</vt:lpstr>
      <vt:lpstr>Revenue Scenario</vt:lpstr>
      <vt:lpstr>RAW DATA</vt:lpstr>
    </vt:vector>
  </TitlesOfParts>
  <Company>Avis Budget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Marino, Mark</dc:creator>
  <cp:lastModifiedBy>Steven Alvarez</cp:lastModifiedBy>
  <cp:lastPrinted>2026-07-14T02:16:06Z</cp:lastPrinted>
  <dcterms:created xsi:type="dcterms:W3CDTF">2026-03-31T18:47:02Z</dcterms:created>
  <dcterms:modified xsi:type="dcterms:W3CDTF">2026-07-14T02:55:58Z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